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70" yWindow="630" windowWidth="36135" windowHeight="17055"/>
  </bookViews>
  <sheets>
    <sheet name="Overall" sheetId="1" r:id="rId1"/>
  </sheets>
  <calcPr calcId="125725"/>
</workbook>
</file>

<file path=xl/calcChain.xml><?xml version="1.0" encoding="utf-8"?>
<calcChain xmlns="http://schemas.openxmlformats.org/spreadsheetml/2006/main">
  <c r="Q43" i="1"/>
  <c r="K43"/>
  <c r="Q42"/>
  <c r="K42"/>
  <c r="H42"/>
  <c r="Q41"/>
  <c r="K41"/>
  <c r="Q40"/>
  <c r="K40"/>
  <c r="Q39"/>
  <c r="K39"/>
  <c r="Q38"/>
  <c r="K38"/>
  <c r="Q37"/>
  <c r="K37"/>
  <c r="Q36"/>
  <c r="K36"/>
  <c r="Q35"/>
  <c r="K35"/>
  <c r="Q34"/>
  <c r="K34"/>
  <c r="Q33"/>
  <c r="K33"/>
  <c r="Q32"/>
  <c r="K32"/>
  <c r="Q31"/>
  <c r="K31"/>
  <c r="Q30"/>
  <c r="K30"/>
  <c r="Q29"/>
  <c r="K29"/>
  <c r="Q28"/>
  <c r="K28"/>
  <c r="Q27"/>
  <c r="K27"/>
  <c r="Q26"/>
  <c r="K26"/>
  <c r="Q25"/>
  <c r="K25"/>
  <c r="Q24"/>
  <c r="K24"/>
  <c r="Q23"/>
  <c r="H23"/>
  <c r="K23" s="1"/>
  <c r="Q22"/>
  <c r="K22"/>
  <c r="Q21"/>
  <c r="K21"/>
  <c r="Q20"/>
  <c r="K20"/>
  <c r="Q19"/>
  <c r="K19"/>
  <c r="Q18"/>
  <c r="K18"/>
  <c r="Q17"/>
  <c r="K17"/>
  <c r="Q16"/>
  <c r="K16"/>
  <c r="Q15"/>
  <c r="K15"/>
  <c r="Q14"/>
  <c r="K14"/>
  <c r="Q13"/>
  <c r="K13"/>
  <c r="Q12"/>
  <c r="K12"/>
  <c r="Q11"/>
  <c r="K11"/>
  <c r="Q10"/>
  <c r="K10"/>
  <c r="Q9"/>
  <c r="K9"/>
  <c r="Q8"/>
  <c r="K8"/>
  <c r="Q7"/>
  <c r="K7"/>
  <c r="Q6"/>
  <c r="K6"/>
  <c r="Q5"/>
  <c r="K5"/>
  <c r="Q4"/>
  <c r="K4"/>
  <c r="Q3"/>
  <c r="K3"/>
  <c r="Q2"/>
  <c r="K2"/>
  <c r="B4"/>
  <c r="B2"/>
  <c r="B5" l="1"/>
</calcChain>
</file>

<file path=xl/sharedStrings.xml><?xml version="1.0" encoding="utf-8"?>
<sst xmlns="http://schemas.openxmlformats.org/spreadsheetml/2006/main" count="334" uniqueCount="175">
  <si>
    <t>Board</t>
  </si>
  <si>
    <t>Part Description</t>
  </si>
  <si>
    <t>Ref Des</t>
  </si>
  <si>
    <t>Qty</t>
  </si>
  <si>
    <t>Current part number</t>
  </si>
  <si>
    <t>Current cost/unit</t>
  </si>
  <si>
    <t>Current line cost</t>
  </si>
  <si>
    <t xml:space="preserve">Competitor equivalent </t>
  </si>
  <si>
    <t>WE Replacement Part number</t>
  </si>
  <si>
    <t>Use WE part?</t>
  </si>
  <si>
    <t>Target cost/unit</t>
  </si>
  <si>
    <t>Target line cost</t>
  </si>
  <si>
    <t>Note</t>
  </si>
  <si>
    <t xml:space="preserve">Control </t>
  </si>
  <si>
    <t>n/a</t>
  </si>
  <si>
    <t>CON1</t>
  </si>
  <si>
    <t>172648-0102</t>
  </si>
  <si>
    <t>Clock segments</t>
  </si>
  <si>
    <t>Current limit resistor</t>
  </si>
  <si>
    <t>1K 0.25W 5% 1206 (3216 Metric)  SMD</t>
  </si>
  <si>
    <t>R3</t>
  </si>
  <si>
    <t>RC3216F1501CS</t>
  </si>
  <si>
    <t>No</t>
  </si>
  <si>
    <t>1K5 0.25W 5% 1206 (3216 Metric)  SMD</t>
  </si>
  <si>
    <t>R2</t>
  </si>
  <si>
    <t>RC1206FR-131KL</t>
  </si>
  <si>
    <t>Tant Cap 10 µF, 6.3 V</t>
  </si>
  <si>
    <t>C11</t>
  </si>
  <si>
    <t>293D106X96R3B2TE3</t>
  </si>
  <si>
    <t>T491A106M006AT</t>
  </si>
  <si>
    <t>WE part is too tall!</t>
  </si>
  <si>
    <t>1.0 A Surface Mount Schottky Barrier Rectifier, 40 V, -65 to 125 degC, 2-Pin SOD-123 Package, RoHS, Tape and Reel</t>
  </si>
  <si>
    <t>D2</t>
  </si>
  <si>
    <t>1N5819HW-7-F</t>
  </si>
  <si>
    <t>Does WE make schotkey diodes?</t>
  </si>
  <si>
    <t>3v3 500mA LDO for logic</t>
  </si>
  <si>
    <t>U3</t>
  </si>
  <si>
    <t>MIC5239-3.3YS</t>
  </si>
  <si>
    <t>LD1117S33CTR</t>
  </si>
  <si>
    <t>This regulator is too tall!</t>
  </si>
  <si>
    <t>Hold up cap, 33uF Tant 16V, 0805</t>
  </si>
  <si>
    <t>C5, C7</t>
  </si>
  <si>
    <t>F981A336MSAAS1</t>
  </si>
  <si>
    <t>TAJB336M010RNJ</t>
  </si>
  <si>
    <t>Tool less cap sense cable connector</t>
  </si>
  <si>
    <t>CON 6, COn7</t>
  </si>
  <si>
    <t>VTBL-151-4-2P</t>
  </si>
  <si>
    <t>This isn't on the board yet, but will be, for the cap sense flying wires. Not sure if we need 3 channels or 3 channels + GND/ If the cap sense stuff is on a separate board then there will be a ZIF connector instead so this line needs refinement</t>
  </si>
  <si>
    <t>Board to board data connectors</t>
  </si>
  <si>
    <t>TBD</t>
  </si>
  <si>
    <t>TSW-103-05-G-D</t>
  </si>
  <si>
    <t>HCD-06S-R-027-034</t>
  </si>
  <si>
    <t>no low profile TH WE part exists</t>
  </si>
  <si>
    <t>USB C PD Controller</t>
  </si>
  <si>
    <t xml:space="preserve">STUSB4500QTR </t>
  </si>
  <si>
    <t>LED controller</t>
  </si>
  <si>
    <t>TLC59116FIPWR</t>
  </si>
  <si>
    <t>Bare PCB no assembly</t>
  </si>
  <si>
    <t>I2C RTC</t>
  </si>
  <si>
    <t>M41T83SMY6F</t>
  </si>
  <si>
    <t>Switching regulator</t>
  </si>
  <si>
    <t>U4</t>
  </si>
  <si>
    <t>LM43602-Q1</t>
  </si>
  <si>
    <t>MUN24AD03-SM</t>
  </si>
  <si>
    <t>Target cost would need to be lower than 2.72 as the replacement part is a full module and the WE switcher needs supporting components - Check for EMC ?</t>
  </si>
  <si>
    <t>Segment current control FET</t>
  </si>
  <si>
    <t>U2, U5, U6, U7, U8, U9, U10, U11, U12, U13, U14, U15, U16, U17</t>
  </si>
  <si>
    <t>ZXMS6005SGTA</t>
  </si>
  <si>
    <t>FDT3612</t>
  </si>
  <si>
    <t>This Mosfet is cheap on RS but not anywhere else? Need to check that the alternative is a sensible drop in replacement</t>
  </si>
  <si>
    <t>Main MCU</t>
  </si>
  <si>
    <t>U1</t>
  </si>
  <si>
    <t>STM32F091RCT6</t>
  </si>
  <si>
    <t>Segment control resistor, 10K, 0805</t>
  </si>
  <si>
    <t>R4, R5, R6, R7, R8, R9, R10, R11, R12, R13, R14, R15, R16, R17</t>
  </si>
  <si>
    <t>CPF0805B10KE1</t>
  </si>
  <si>
    <t>ERA-6AEB103V</t>
  </si>
  <si>
    <t>Cap sense controller</t>
  </si>
  <si>
    <t>CAP1296 or an ATTINY with the fancy library?</t>
  </si>
  <si>
    <t>Control board</t>
  </si>
  <si>
    <t>Hall effect sensor / glass removal detection</t>
  </si>
  <si>
    <t>tbd</t>
  </si>
  <si>
    <t>Front light panel</t>
  </si>
  <si>
    <t>Edge indicator LED driver</t>
  </si>
  <si>
    <t>U8</t>
  </si>
  <si>
    <t>TLC5955DCAR</t>
  </si>
  <si>
    <t>Segment Power/Ground return connector</t>
  </si>
  <si>
    <t>S9111-45R</t>
  </si>
  <si>
    <t>8086-0-00-15-00-00-33-0 or 8086-0-00-80-00-00-33-0 or 8086-0-00-21-00-00-33-0</t>
  </si>
  <si>
    <t xml:space="preserve">Custom version of this pin from Yaopeng works out approx 25-30p per unit including shipping and tax 8086-0-00-15-00-00-33-0‎ 0.39/unit at volume for 30 batch (https://www.digikey.co.uk/product-detail/en/8086-0-00-15-00-00-33-0/ED90410-ND/1991700/?itemSeq=338742051)Custom pin from </t>
  </si>
  <si>
    <t>...</t>
  </si>
  <si>
    <t>RC1210FR-07100RL</t>
  </si>
  <si>
    <t>Control</t>
  </si>
  <si>
    <t>internal</t>
  </si>
  <si>
    <t xml:space="preserve">Cap touch </t>
  </si>
  <si>
    <t>Flex PCB</t>
  </si>
  <si>
    <t>Design TBD - price based on size only for bare PCB, no assembly here - size assue use of a ZIF connector to attach to main board</t>
  </si>
  <si>
    <t>Reset/debug tac switch</t>
  </si>
  <si>
    <t>SW1</t>
  </si>
  <si>
    <t>434353045816</t>
  </si>
  <si>
    <t>Yes</t>
  </si>
  <si>
    <t>Part literally has to be free; otherwise will mark as DNF</t>
  </si>
  <si>
    <t>Decoupling cap, ceramic, 100nF, 0603, 16V</t>
  </si>
  <si>
    <t>C14, C142</t>
  </si>
  <si>
    <t>C0603C104Z4VAC</t>
  </si>
  <si>
    <t>Total of 9 of these caps across the project</t>
  </si>
  <si>
    <t>C8</t>
  </si>
  <si>
    <t>Price must match or undercut nearest competitor</t>
  </si>
  <si>
    <t>Debug LED</t>
  </si>
  <si>
    <t>LED1</t>
  </si>
  <si>
    <t>150120GS75000</t>
  </si>
  <si>
    <t>QBLP651-AG</t>
  </si>
  <si>
    <t>Some harmonisation to so with indicator LEDs, at production qty competitor parts are cheaper than the WE parts already in the design</t>
  </si>
  <si>
    <t>Indicator LED</t>
  </si>
  <si>
    <t>D1</t>
  </si>
  <si>
    <t>LTST-C170GKT</t>
  </si>
  <si>
    <t>Power LED</t>
  </si>
  <si>
    <t>LED2</t>
  </si>
  <si>
    <t>150120RS75000</t>
  </si>
  <si>
    <t>QBLP651-R</t>
  </si>
  <si>
    <t>Bulk capacitance - 100nF 50V ceramic</t>
  </si>
  <si>
    <t>C12</t>
  </si>
  <si>
    <t>06035C104KAT2A</t>
  </si>
  <si>
    <t>CC0603KPX7R9BB104</t>
  </si>
  <si>
    <t>C1, C2, C3, C4, C6, C8, C9</t>
  </si>
  <si>
    <t>Programming header</t>
  </si>
  <si>
    <t>P1</t>
  </si>
  <si>
    <t>640456-5</t>
  </si>
  <si>
    <t>This might end up being a DNF anyway</t>
  </si>
  <si>
    <t>Cap touch board FFC/ZIF connector</t>
  </si>
  <si>
    <t>686106183522</t>
  </si>
  <si>
    <t>200529-0060</t>
  </si>
  <si>
    <t>Use the molex part unless WE part can match pricing</t>
  </si>
  <si>
    <t>Segment LED</t>
  </si>
  <si>
    <t>158301250</t>
  </si>
  <si>
    <t>158301250A</t>
  </si>
  <si>
    <t>A single complete moon has 2500 LEDs in it; pricing accounts for an MOQ run of 8 moons to get 4000 LEDs/Reel to line up with 2500/moon</t>
  </si>
  <si>
    <t>Power connector</t>
  </si>
  <si>
    <t>KUSBX-SMTTH-CS2-BTR</t>
  </si>
  <si>
    <t>Target cost accounts for mating connector half and crimps in the existing assembly (0469940212 +  79758-0009)</t>
  </si>
  <si>
    <t>Super cap for clock backup</t>
  </si>
  <si>
    <t>HLE-103-02-G-DV</t>
  </si>
  <si>
    <t>The front LED boards are actually assembled in two halves, but for a 'per moon' cost, treating is as a single assembly</t>
  </si>
  <si>
    <t>Calibration resistor, 160R, 0603, 1%</t>
  </si>
  <si>
    <t>R1</t>
  </si>
  <si>
    <t>ERJP03F1600V</t>
  </si>
  <si>
    <t>No WE part like this?</t>
  </si>
  <si>
    <t>885012206046</t>
  </si>
  <si>
    <t>885382206004</t>
  </si>
  <si>
    <t>61900511121</t>
  </si>
  <si>
    <t>850617021002</t>
  </si>
  <si>
    <t>632723300011</t>
  </si>
  <si>
    <t>610006243021</t>
  </si>
  <si>
    <t>875105359001</t>
  </si>
  <si>
    <t>875015519004</t>
  </si>
  <si>
    <t>695402400222</t>
  </si>
  <si>
    <t>Cost of WE Parts</t>
  </si>
  <si>
    <t>Cost of non WE Parts</t>
  </si>
  <si>
    <t>Total Cost</t>
  </si>
  <si>
    <t>WE Catalog cost</t>
  </si>
  <si>
    <t>NOTES:</t>
  </si>
  <si>
    <t>Part numbers hilighted in green indicate parts which we'd like to use, some of them are WE some are from other suppliers</t>
  </si>
  <si>
    <t>The totals above don't update properly - google sheets formulas don't seem to transfer properly into excel, sorry!</t>
  </si>
  <si>
    <t>The colouring of the target line cost column is indicative of impact - changes to green cells have less impact than orange or red cells</t>
  </si>
  <si>
    <t>WE part is not a Tant cap - seems to be much more expensive! Height and electrical spec is correct though</t>
  </si>
  <si>
    <t>DSK-3R3H224U-HL</t>
  </si>
  <si>
    <t>This part is still TBD in design - the wurth part is too big to mount normally - and the voltage is too low to work with the RTC chip</t>
  </si>
  <si>
    <t>Notes column contains info on part selection and if a WE part is suitable/not quite to spec in some cases</t>
  </si>
  <si>
    <t>WE catalog price column is blank, if you could fill this in to contain the 1off or reel price that will help me work out the overall price targets (this sheet assume one complete assembly so you'll need to multiply by 30/60/90)</t>
  </si>
  <si>
    <t>Part numbers hilights in (light?) yellow are possible WE parts, the price will have to match or undercut current selection to make the switch worth while</t>
  </si>
  <si>
    <t>a</t>
  </si>
  <si>
    <t>b</t>
  </si>
  <si>
    <t>c</t>
  </si>
  <si>
    <t>Common parts across boards</t>
  </si>
  <si>
    <t>Some parts are common in the assembly but split across boards, these are marked in column E</t>
  </si>
</sst>
</file>

<file path=xl/styles.xml><?xml version="1.0" encoding="utf-8"?>
<styleSheet xmlns="http://schemas.openxmlformats.org/spreadsheetml/2006/main">
  <fonts count="10">
    <font>
      <sz val="10"/>
      <color rgb="FF000000"/>
      <name val="Arial"/>
    </font>
    <font>
      <b/>
      <sz val="10"/>
      <color theme="1"/>
      <name val="Arial"/>
    </font>
    <font>
      <sz val="10"/>
      <color theme="1"/>
      <name val="Arial"/>
    </font>
    <font>
      <sz val="10"/>
      <color theme="1"/>
      <name val="Consolas"/>
    </font>
    <font>
      <sz val="11"/>
      <color rgb="FF000000"/>
      <name val="Calibri"/>
    </font>
    <font>
      <sz val="10"/>
      <color rgb="FF333333"/>
      <name val="Arial"/>
    </font>
    <font>
      <sz val="9"/>
      <color rgb="FF000000"/>
      <name val="Arial"/>
    </font>
    <font>
      <sz val="11"/>
      <color rgb="FF000000"/>
      <name val="Arial"/>
    </font>
    <font>
      <sz val="10"/>
      <color theme="1"/>
      <name val="Arial"/>
      <family val="2"/>
    </font>
    <font>
      <b/>
      <sz val="10"/>
      <color theme="1"/>
      <name val="Arial"/>
      <family val="2"/>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s>
  <borders count="1">
    <border>
      <left/>
      <right/>
      <top/>
      <bottom/>
      <diagonal/>
    </border>
  </borders>
  <cellStyleXfs count="1">
    <xf numFmtId="0" fontId="0" fillId="0" borderId="0"/>
  </cellStyleXfs>
  <cellXfs count="23">
    <xf numFmtId="0" fontId="0" fillId="0" borderId="0" xfId="0" applyFont="1" applyAlignment="1"/>
    <xf numFmtId="0" fontId="1" fillId="0" borderId="0" xfId="0" applyFont="1" applyAlignment="1"/>
    <xf numFmtId="49" fontId="1" fillId="0" borderId="0" xfId="0" applyNumberFormat="1" applyFont="1" applyAlignment="1"/>
    <xf numFmtId="0" fontId="2" fillId="0" borderId="0" xfId="0" applyFont="1" applyAlignment="1"/>
    <xf numFmtId="0" fontId="3" fillId="0" borderId="0" xfId="0" applyFont="1" applyAlignment="1">
      <alignment horizontal="right"/>
    </xf>
    <xf numFmtId="49" fontId="2" fillId="2" borderId="0" xfId="0" applyNumberFormat="1" applyFont="1" applyFill="1" applyAlignment="1"/>
    <xf numFmtId="0" fontId="2" fillId="0" borderId="0" xfId="0" applyFont="1"/>
    <xf numFmtId="49" fontId="2" fillId="0" borderId="0" xfId="0" applyNumberFormat="1" applyFont="1" applyAlignment="1"/>
    <xf numFmtId="0" fontId="2" fillId="2" borderId="0" xfId="0" applyFont="1" applyFill="1" applyAlignment="1"/>
    <xf numFmtId="0" fontId="4" fillId="0" borderId="0" xfId="0" applyFont="1" applyAlignment="1"/>
    <xf numFmtId="49" fontId="5" fillId="3" borderId="0" xfId="0" applyNumberFormat="1" applyFont="1" applyFill="1" applyAlignment="1"/>
    <xf numFmtId="49" fontId="2" fillId="0" borderId="0" xfId="0" applyNumberFormat="1" applyFont="1" applyAlignment="1"/>
    <xf numFmtId="0" fontId="6" fillId="0" borderId="0" xfId="0" applyFont="1" applyAlignment="1">
      <alignment horizontal="left"/>
    </xf>
    <xf numFmtId="0" fontId="7" fillId="0" borderId="0" xfId="0" applyFont="1" applyAlignment="1"/>
    <xf numFmtId="0" fontId="3" fillId="0" borderId="0" xfId="0" applyFont="1" applyAlignment="1">
      <alignment horizontal="left"/>
    </xf>
    <xf numFmtId="49" fontId="0" fillId="0" borderId="0" xfId="0" applyNumberFormat="1" applyFont="1" applyAlignment="1"/>
    <xf numFmtId="49" fontId="8" fillId="2" borderId="0" xfId="0" applyNumberFormat="1" applyFont="1" applyFill="1" applyAlignment="1"/>
    <xf numFmtId="49" fontId="8" fillId="4" borderId="0" xfId="0" applyNumberFormat="1" applyFont="1" applyFill="1" applyAlignment="1"/>
    <xf numFmtId="49" fontId="8" fillId="0" borderId="0" xfId="0" applyNumberFormat="1" applyFont="1" applyAlignment="1"/>
    <xf numFmtId="0" fontId="8" fillId="0" borderId="0" xfId="0" applyFont="1" applyAlignment="1"/>
    <xf numFmtId="0" fontId="9" fillId="0" borderId="0" xfId="0" applyFont="1" applyAlignment="1"/>
    <xf numFmtId="0" fontId="8" fillId="0" borderId="0" xfId="0" applyFont="1" applyAlignment="1">
      <alignment wrapText="1"/>
    </xf>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R1027"/>
  <sheetViews>
    <sheetView tabSelected="1" workbookViewId="0">
      <pane xSplit="3" ySplit="1" topLeftCell="D2" activePane="bottomRight" state="frozen"/>
      <selection pane="topRight" activeCell="D1" sqref="D1"/>
      <selection pane="bottomLeft" activeCell="A2" sqref="A2"/>
      <selection pane="bottomRight" activeCell="H34" sqref="H34"/>
    </sheetView>
  </sheetViews>
  <sheetFormatPr defaultColWidth="14.42578125" defaultRowHeight="15.75" customHeight="1"/>
  <cols>
    <col min="1" max="1" width="19" customWidth="1"/>
    <col min="2" max="2" width="137.140625" bestFit="1" customWidth="1"/>
    <col min="3" max="3" width="10.28515625" customWidth="1"/>
    <col min="4" max="5" width="19" customWidth="1"/>
    <col min="6" max="6" width="43.140625" customWidth="1"/>
    <col min="7" max="7" width="8.28515625" customWidth="1"/>
    <col min="8" max="8" width="5.42578125" customWidth="1"/>
    <col min="9" max="9" width="29.5703125" customWidth="1"/>
    <col min="10" max="10" width="16.42578125" customWidth="1"/>
    <col min="11" max="11" width="16.28515625" customWidth="1"/>
    <col min="12" max="12" width="21.7109375" customWidth="1"/>
    <col min="13" max="13" width="29" style="15" bestFit="1" customWidth="1"/>
    <col min="14" max="14" width="14.28515625" customWidth="1"/>
    <col min="15" max="15" width="15.28515625" customWidth="1"/>
    <col min="16" max="16" width="15.85546875" bestFit="1" customWidth="1"/>
    <col min="17" max="17" width="17.28515625" customWidth="1"/>
    <col min="18" max="18" width="71.140625" customWidth="1"/>
  </cols>
  <sheetData>
    <row r="1" spans="1:18" ht="12.75">
      <c r="A1" s="1"/>
      <c r="B1" s="1"/>
      <c r="C1" s="22"/>
      <c r="D1" s="1" t="s">
        <v>0</v>
      </c>
      <c r="E1" s="20" t="s">
        <v>173</v>
      </c>
      <c r="F1" s="1" t="s">
        <v>1</v>
      </c>
      <c r="G1" s="1" t="s">
        <v>2</v>
      </c>
      <c r="H1" s="1" t="s">
        <v>3</v>
      </c>
      <c r="I1" s="2" t="s">
        <v>4</v>
      </c>
      <c r="J1" s="1" t="s">
        <v>5</v>
      </c>
      <c r="K1" s="1" t="s">
        <v>6</v>
      </c>
      <c r="L1" s="1" t="s">
        <v>7</v>
      </c>
      <c r="M1" s="2" t="s">
        <v>8</v>
      </c>
      <c r="N1" s="1" t="s">
        <v>9</v>
      </c>
      <c r="O1" s="1" t="s">
        <v>10</v>
      </c>
      <c r="P1" s="20" t="s">
        <v>159</v>
      </c>
      <c r="Q1" s="1" t="s">
        <v>11</v>
      </c>
      <c r="R1" s="1" t="s">
        <v>12</v>
      </c>
    </row>
    <row r="2" spans="1:18" ht="12.75">
      <c r="A2" s="19" t="s">
        <v>156</v>
      </c>
      <c r="B2" s="4">
        <f ca="1">IFERROR(__xludf.DUMMYFUNCTION("SUM(FILTER(O:O,M:M=""Yes""))"),72.455)</f>
        <v>72.454999999999998</v>
      </c>
      <c r="C2" s="22"/>
      <c r="D2" s="3" t="s">
        <v>13</v>
      </c>
      <c r="E2" s="3"/>
      <c r="F2" s="3" t="s">
        <v>19</v>
      </c>
      <c r="G2" s="3" t="s">
        <v>20</v>
      </c>
      <c r="H2" s="3">
        <v>1</v>
      </c>
      <c r="I2" s="5" t="s">
        <v>21</v>
      </c>
      <c r="J2" s="3">
        <v>4.0000000000000001E-3</v>
      </c>
      <c r="K2" s="3">
        <f t="shared" ref="K2:K43" si="0">J2*H2</f>
        <v>4.0000000000000001E-3</v>
      </c>
      <c r="L2" s="3" t="s">
        <v>14</v>
      </c>
      <c r="M2" s="11" t="s">
        <v>14</v>
      </c>
      <c r="N2" s="3" t="s">
        <v>22</v>
      </c>
      <c r="O2" s="3">
        <v>4.0000000000000001E-3</v>
      </c>
      <c r="P2" s="3"/>
      <c r="Q2" s="6">
        <f>H2*O2</f>
        <v>4.0000000000000001E-3</v>
      </c>
      <c r="R2" s="3"/>
    </row>
    <row r="3" spans="1:18" ht="12.75">
      <c r="C3" s="22"/>
      <c r="D3" s="3" t="s">
        <v>13</v>
      </c>
      <c r="E3" s="3"/>
      <c r="F3" s="3" t="s">
        <v>23</v>
      </c>
      <c r="G3" s="3" t="s">
        <v>24</v>
      </c>
      <c r="H3" s="3">
        <v>1</v>
      </c>
      <c r="I3" s="5" t="s">
        <v>25</v>
      </c>
      <c r="J3" s="3">
        <v>2.5000000000000001E-2</v>
      </c>
      <c r="K3" s="3">
        <f t="shared" si="0"/>
        <v>2.5000000000000001E-2</v>
      </c>
      <c r="L3" s="3" t="s">
        <v>14</v>
      </c>
      <c r="M3" s="11" t="s">
        <v>14</v>
      </c>
      <c r="N3" s="3" t="s">
        <v>22</v>
      </c>
      <c r="O3" s="3">
        <v>2.5000000000000001E-2</v>
      </c>
      <c r="P3" s="3"/>
      <c r="Q3" s="6">
        <f>H3*O3</f>
        <v>2.5000000000000001E-2</v>
      </c>
      <c r="R3" s="3"/>
    </row>
    <row r="4" spans="1:18" ht="12.75">
      <c r="A4" s="19" t="s">
        <v>157</v>
      </c>
      <c r="B4" s="6">
        <f ca="1">IFERROR(__xludf.DUMMYFUNCTION("SUM(FILTER(O:O,M:M=""No""))"),105.065)</f>
        <v>105.065</v>
      </c>
      <c r="C4" s="22"/>
      <c r="D4" s="3" t="s">
        <v>13</v>
      </c>
      <c r="E4" s="3"/>
      <c r="F4" s="3" t="s">
        <v>26</v>
      </c>
      <c r="G4" s="3" t="s">
        <v>27</v>
      </c>
      <c r="H4" s="3">
        <v>1</v>
      </c>
      <c r="I4" s="7" t="s">
        <v>28</v>
      </c>
      <c r="J4" s="3">
        <v>0.18</v>
      </c>
      <c r="K4" s="3">
        <f t="shared" si="0"/>
        <v>0.18</v>
      </c>
      <c r="L4" s="8" t="s">
        <v>29</v>
      </c>
      <c r="M4" s="18" t="s">
        <v>153</v>
      </c>
      <c r="N4" s="3" t="s">
        <v>22</v>
      </c>
      <c r="O4" s="3">
        <v>0.12</v>
      </c>
      <c r="P4" s="3"/>
      <c r="Q4" s="6">
        <f>H4*O4</f>
        <v>0.12</v>
      </c>
      <c r="R4" s="3" t="s">
        <v>30</v>
      </c>
    </row>
    <row r="5" spans="1:18" ht="15">
      <c r="A5" s="19" t="s">
        <v>158</v>
      </c>
      <c r="B5" s="6">
        <f>SUM(Q:Q)</f>
        <v>175.95000000000005</v>
      </c>
      <c r="C5" s="22"/>
      <c r="D5" s="3" t="s">
        <v>13</v>
      </c>
      <c r="E5" s="3"/>
      <c r="F5" s="9" t="s">
        <v>31</v>
      </c>
      <c r="G5" s="3" t="s">
        <v>32</v>
      </c>
      <c r="H5" s="3">
        <v>1</v>
      </c>
      <c r="I5" s="5" t="s">
        <v>33</v>
      </c>
      <c r="J5" s="3">
        <v>0.2</v>
      </c>
      <c r="K5" s="3">
        <f t="shared" si="0"/>
        <v>0.2</v>
      </c>
      <c r="L5" s="3" t="s">
        <v>14</v>
      </c>
      <c r="M5" s="11" t="s">
        <v>14</v>
      </c>
      <c r="N5" s="3" t="s">
        <v>22</v>
      </c>
      <c r="O5" s="3">
        <v>0.2</v>
      </c>
      <c r="P5" s="3"/>
      <c r="Q5" s="6">
        <f>H5*O5</f>
        <v>0.2</v>
      </c>
      <c r="R5" s="3" t="s">
        <v>34</v>
      </c>
    </row>
    <row r="6" spans="1:18" ht="12.75">
      <c r="A6" s="3"/>
      <c r="B6" s="3"/>
      <c r="C6" s="22"/>
      <c r="D6" s="3" t="s">
        <v>13</v>
      </c>
      <c r="E6" s="3"/>
      <c r="F6" s="3" t="s">
        <v>35</v>
      </c>
      <c r="G6" s="3" t="s">
        <v>36</v>
      </c>
      <c r="H6" s="3">
        <v>1</v>
      </c>
      <c r="I6" s="10" t="s">
        <v>37</v>
      </c>
      <c r="J6" s="3">
        <v>1.52</v>
      </c>
      <c r="K6" s="3">
        <f t="shared" si="0"/>
        <v>1.52</v>
      </c>
      <c r="L6" s="8" t="s">
        <v>38</v>
      </c>
      <c r="M6" s="11">
        <v>173950378</v>
      </c>
      <c r="N6" s="3" t="s">
        <v>22</v>
      </c>
      <c r="O6" s="3">
        <v>0.32</v>
      </c>
      <c r="P6" s="3"/>
      <c r="Q6" s="6">
        <f>H6*O6</f>
        <v>0.32</v>
      </c>
      <c r="R6" s="3" t="s">
        <v>39</v>
      </c>
    </row>
    <row r="7" spans="1:18" ht="12.75">
      <c r="A7" s="3"/>
      <c r="B7" s="3"/>
      <c r="C7" s="22"/>
      <c r="D7" s="3" t="s">
        <v>13</v>
      </c>
      <c r="E7" s="3"/>
      <c r="F7" s="3" t="s">
        <v>40</v>
      </c>
      <c r="G7" s="3" t="s">
        <v>41</v>
      </c>
      <c r="H7" s="3">
        <v>2</v>
      </c>
      <c r="I7" s="7" t="s">
        <v>42</v>
      </c>
      <c r="J7" s="3">
        <v>0.36</v>
      </c>
      <c r="K7" s="3">
        <f t="shared" si="0"/>
        <v>0.72</v>
      </c>
      <c r="L7" s="8" t="s">
        <v>43</v>
      </c>
      <c r="M7" s="17" t="s">
        <v>154</v>
      </c>
      <c r="N7" s="19" t="s">
        <v>100</v>
      </c>
      <c r="O7" s="3">
        <v>0.24</v>
      </c>
      <c r="P7" s="3"/>
      <c r="Q7" s="6">
        <f>H7*O7</f>
        <v>0.48</v>
      </c>
      <c r="R7" s="19" t="s">
        <v>164</v>
      </c>
    </row>
    <row r="8" spans="1:18" ht="12.75">
      <c r="A8" s="3"/>
      <c r="B8" s="3"/>
      <c r="C8" s="22"/>
      <c r="D8" s="3" t="s">
        <v>13</v>
      </c>
      <c r="E8" s="3"/>
      <c r="F8" s="3" t="s">
        <v>44</v>
      </c>
      <c r="G8" s="3" t="s">
        <v>45</v>
      </c>
      <c r="H8" s="3">
        <v>3</v>
      </c>
      <c r="I8" s="5" t="s">
        <v>46</v>
      </c>
      <c r="J8" s="3">
        <v>0.18</v>
      </c>
      <c r="K8" s="3">
        <f t="shared" si="0"/>
        <v>0.54</v>
      </c>
      <c r="L8" s="3">
        <v>709296001002006</v>
      </c>
      <c r="M8" s="18" t="s">
        <v>155</v>
      </c>
      <c r="N8" s="3" t="s">
        <v>22</v>
      </c>
      <c r="O8" s="3">
        <v>0.18</v>
      </c>
      <c r="P8" s="3"/>
      <c r="Q8" s="6">
        <f>H8*O8</f>
        <v>0.54</v>
      </c>
      <c r="R8" s="3" t="s">
        <v>47</v>
      </c>
    </row>
    <row r="9" spans="1:18" ht="12.75">
      <c r="A9" s="19" t="s">
        <v>160</v>
      </c>
      <c r="B9" s="5" t="s">
        <v>161</v>
      </c>
      <c r="C9" s="22"/>
      <c r="D9" s="3" t="s">
        <v>13</v>
      </c>
      <c r="E9" s="3"/>
      <c r="F9" s="3" t="s">
        <v>48</v>
      </c>
      <c r="G9" s="3" t="s">
        <v>49</v>
      </c>
      <c r="H9" s="3">
        <v>6</v>
      </c>
      <c r="I9" s="7" t="s">
        <v>50</v>
      </c>
      <c r="J9" s="3">
        <v>0.5</v>
      </c>
      <c r="K9" s="3">
        <f t="shared" si="0"/>
        <v>3</v>
      </c>
      <c r="L9" s="8" t="s">
        <v>51</v>
      </c>
      <c r="M9" s="11" t="s">
        <v>14</v>
      </c>
      <c r="N9" s="3" t="s">
        <v>22</v>
      </c>
      <c r="O9" s="3">
        <v>0.21</v>
      </c>
      <c r="P9" s="3"/>
      <c r="Q9" s="6">
        <f>H9*O9</f>
        <v>1.26</v>
      </c>
      <c r="R9" s="3" t="s">
        <v>52</v>
      </c>
    </row>
    <row r="10" spans="1:18" ht="12.75">
      <c r="A10" s="3"/>
      <c r="B10" s="17" t="s">
        <v>169</v>
      </c>
      <c r="C10" s="22"/>
      <c r="D10" s="3" t="s">
        <v>13</v>
      </c>
      <c r="E10" s="3"/>
      <c r="F10" s="3" t="s">
        <v>53</v>
      </c>
      <c r="G10" s="3" t="s">
        <v>49</v>
      </c>
      <c r="H10" s="3">
        <v>1</v>
      </c>
      <c r="I10" s="5" t="s">
        <v>54</v>
      </c>
      <c r="J10" s="3">
        <v>1.5</v>
      </c>
      <c r="K10" s="3">
        <f t="shared" si="0"/>
        <v>1.5</v>
      </c>
      <c r="L10" s="3" t="s">
        <v>14</v>
      </c>
      <c r="M10" s="11" t="s">
        <v>14</v>
      </c>
      <c r="N10" s="3" t="s">
        <v>22</v>
      </c>
      <c r="O10" s="3">
        <v>1.5</v>
      </c>
      <c r="P10" s="3"/>
      <c r="Q10" s="6">
        <f>H10*O10</f>
        <v>1.5</v>
      </c>
      <c r="R10" s="3"/>
    </row>
    <row r="11" spans="1:18" ht="12.75">
      <c r="A11" s="3"/>
      <c r="B11" s="19" t="s">
        <v>162</v>
      </c>
      <c r="C11" s="22"/>
      <c r="D11" s="3" t="s">
        <v>17</v>
      </c>
      <c r="E11" s="3"/>
      <c r="F11" s="3" t="s">
        <v>55</v>
      </c>
      <c r="G11" s="3" t="s">
        <v>49</v>
      </c>
      <c r="H11" s="3">
        <v>2</v>
      </c>
      <c r="I11" s="5" t="s">
        <v>56</v>
      </c>
      <c r="J11" s="3">
        <v>0.95</v>
      </c>
      <c r="K11" s="3">
        <f t="shared" si="0"/>
        <v>1.9</v>
      </c>
      <c r="L11" s="3" t="s">
        <v>14</v>
      </c>
      <c r="M11" s="11" t="s">
        <v>14</v>
      </c>
      <c r="N11" s="3" t="s">
        <v>22</v>
      </c>
      <c r="O11" s="3">
        <v>0.95</v>
      </c>
      <c r="P11" s="3"/>
      <c r="Q11" s="6">
        <f>H11*O11</f>
        <v>1.9</v>
      </c>
      <c r="R11" s="3"/>
    </row>
    <row r="12" spans="1:18" ht="12.75">
      <c r="A12" s="3"/>
      <c r="B12" s="19" t="s">
        <v>163</v>
      </c>
      <c r="C12" s="22"/>
      <c r="D12" s="3" t="s">
        <v>17</v>
      </c>
      <c r="E12" s="3"/>
      <c r="F12" s="3" t="s">
        <v>57</v>
      </c>
      <c r="H12" s="3">
        <v>2</v>
      </c>
      <c r="I12" s="11"/>
      <c r="J12" s="3">
        <v>1</v>
      </c>
      <c r="K12" s="3">
        <f t="shared" si="0"/>
        <v>2</v>
      </c>
      <c r="N12" s="3" t="s">
        <v>22</v>
      </c>
      <c r="O12" s="3">
        <v>1</v>
      </c>
      <c r="P12" s="3"/>
      <c r="Q12" s="6">
        <f>H12*O12</f>
        <v>2</v>
      </c>
    </row>
    <row r="13" spans="1:18" ht="12.75">
      <c r="A13" s="3"/>
      <c r="B13" s="19" t="s">
        <v>167</v>
      </c>
      <c r="C13" s="22"/>
      <c r="D13" s="3" t="s">
        <v>13</v>
      </c>
      <c r="E13" s="3"/>
      <c r="F13" s="3" t="s">
        <v>58</v>
      </c>
      <c r="G13" s="3" t="s">
        <v>49</v>
      </c>
      <c r="H13" s="3">
        <v>1</v>
      </c>
      <c r="I13" s="5" t="s">
        <v>59</v>
      </c>
      <c r="J13" s="3">
        <v>2.6</v>
      </c>
      <c r="K13" s="3">
        <f t="shared" si="0"/>
        <v>2.6</v>
      </c>
      <c r="L13" s="3" t="s">
        <v>14</v>
      </c>
      <c r="M13" s="11" t="s">
        <v>14</v>
      </c>
      <c r="N13" s="3" t="s">
        <v>22</v>
      </c>
      <c r="O13" s="3">
        <v>2.6</v>
      </c>
      <c r="P13" s="3"/>
      <c r="Q13" s="6">
        <f>H13*O13</f>
        <v>2.6</v>
      </c>
      <c r="R13" s="3"/>
    </row>
    <row r="14" spans="1:18" ht="25.5">
      <c r="A14" s="3"/>
      <c r="B14" s="21" t="s">
        <v>168</v>
      </c>
      <c r="C14" s="22"/>
      <c r="D14" s="3" t="s">
        <v>13</v>
      </c>
      <c r="E14" s="3"/>
      <c r="F14" s="3" t="s">
        <v>60</v>
      </c>
      <c r="G14" s="3" t="s">
        <v>61</v>
      </c>
      <c r="H14" s="3">
        <v>1</v>
      </c>
      <c r="I14" s="7" t="s">
        <v>62</v>
      </c>
      <c r="J14" s="3">
        <v>3.11</v>
      </c>
      <c r="K14" s="3">
        <f t="shared" si="0"/>
        <v>3.11</v>
      </c>
      <c r="L14" s="8" t="s">
        <v>63</v>
      </c>
      <c r="M14" s="11">
        <v>171032401</v>
      </c>
      <c r="N14" s="3" t="s">
        <v>22</v>
      </c>
      <c r="O14" s="3">
        <v>2.72</v>
      </c>
      <c r="P14" s="3"/>
      <c r="Q14" s="6">
        <f>H14*O14</f>
        <v>2.72</v>
      </c>
      <c r="R14" s="3" t="s">
        <v>64</v>
      </c>
    </row>
    <row r="15" spans="1:18" ht="12.75">
      <c r="A15" s="3"/>
      <c r="B15" s="19" t="s">
        <v>174</v>
      </c>
      <c r="C15" s="3"/>
      <c r="D15" s="3" t="s">
        <v>13</v>
      </c>
      <c r="E15" s="3"/>
      <c r="F15" s="3" t="s">
        <v>65</v>
      </c>
      <c r="G15" s="3" t="s">
        <v>66</v>
      </c>
      <c r="H15" s="3">
        <v>14</v>
      </c>
      <c r="I15" s="5" t="s">
        <v>67</v>
      </c>
      <c r="J15" s="3">
        <v>0.432</v>
      </c>
      <c r="K15" s="3">
        <f t="shared" si="0"/>
        <v>6.048</v>
      </c>
      <c r="L15" s="3" t="s">
        <v>68</v>
      </c>
      <c r="M15" s="11" t="s">
        <v>14</v>
      </c>
      <c r="N15" s="3" t="s">
        <v>22</v>
      </c>
      <c r="O15" s="3">
        <v>0.2</v>
      </c>
      <c r="P15" s="3"/>
      <c r="Q15" s="6">
        <f>H15*O15</f>
        <v>2.8000000000000003</v>
      </c>
      <c r="R15" s="3" t="s">
        <v>69</v>
      </c>
    </row>
    <row r="16" spans="1:18" ht="12.75">
      <c r="A16" s="3"/>
      <c r="B16" s="3"/>
      <c r="C16" s="3"/>
      <c r="D16" s="3" t="s">
        <v>13</v>
      </c>
      <c r="E16" s="3"/>
      <c r="F16" s="3" t="s">
        <v>70</v>
      </c>
      <c r="G16" s="3" t="s">
        <v>71</v>
      </c>
      <c r="H16" s="3">
        <v>1</v>
      </c>
      <c r="I16" s="5" t="s">
        <v>72</v>
      </c>
      <c r="J16" s="3">
        <v>2.91</v>
      </c>
      <c r="K16" s="3">
        <f t="shared" si="0"/>
        <v>2.91</v>
      </c>
      <c r="L16" s="3" t="s">
        <v>14</v>
      </c>
      <c r="M16" s="11" t="s">
        <v>14</v>
      </c>
      <c r="N16" s="3" t="s">
        <v>22</v>
      </c>
      <c r="O16" s="3">
        <v>2.91</v>
      </c>
      <c r="P16" s="3"/>
      <c r="Q16" s="6">
        <f>H16*O16</f>
        <v>2.91</v>
      </c>
      <c r="R16" s="3"/>
    </row>
    <row r="17" spans="1:18" ht="12.75">
      <c r="A17" s="3"/>
      <c r="B17" s="3"/>
      <c r="C17" s="3"/>
      <c r="D17" s="3" t="s">
        <v>13</v>
      </c>
      <c r="E17" s="3"/>
      <c r="F17" s="3" t="s">
        <v>73</v>
      </c>
      <c r="G17" s="3" t="s">
        <v>74</v>
      </c>
      <c r="H17" s="3">
        <v>14</v>
      </c>
      <c r="I17" s="7" t="s">
        <v>75</v>
      </c>
      <c r="J17" s="3">
        <v>0.34</v>
      </c>
      <c r="K17" s="3">
        <f t="shared" si="0"/>
        <v>4.7600000000000007</v>
      </c>
      <c r="L17" s="8" t="s">
        <v>76</v>
      </c>
      <c r="M17" s="11" t="s">
        <v>14</v>
      </c>
      <c r="N17" s="3" t="s">
        <v>22</v>
      </c>
      <c r="O17" s="3">
        <v>0.21</v>
      </c>
      <c r="P17" s="3"/>
      <c r="Q17" s="6">
        <f>H17*O17</f>
        <v>2.94</v>
      </c>
      <c r="R17" s="3"/>
    </row>
    <row r="18" spans="1:18" ht="12.75">
      <c r="A18" s="3"/>
      <c r="B18" s="3"/>
      <c r="C18" s="3"/>
      <c r="D18" s="3" t="s">
        <v>13</v>
      </c>
      <c r="E18" s="3"/>
      <c r="F18" s="3" t="s">
        <v>77</v>
      </c>
      <c r="G18" s="3" t="s">
        <v>49</v>
      </c>
      <c r="H18" s="3">
        <v>1</v>
      </c>
      <c r="I18" s="5" t="s">
        <v>49</v>
      </c>
      <c r="J18" s="3">
        <v>3</v>
      </c>
      <c r="K18" s="3">
        <f t="shared" si="0"/>
        <v>3</v>
      </c>
      <c r="L18" s="3" t="s">
        <v>14</v>
      </c>
      <c r="M18" s="11" t="s">
        <v>14</v>
      </c>
      <c r="N18" s="3" t="s">
        <v>22</v>
      </c>
      <c r="O18" s="3">
        <v>3</v>
      </c>
      <c r="P18" s="3"/>
      <c r="Q18" s="6">
        <f>H18*O18</f>
        <v>3</v>
      </c>
      <c r="R18" s="3" t="s">
        <v>78</v>
      </c>
    </row>
    <row r="19" spans="1:18" ht="12.75">
      <c r="A19" s="3"/>
      <c r="B19" s="3"/>
      <c r="C19" s="3"/>
      <c r="D19" s="3" t="s">
        <v>79</v>
      </c>
      <c r="E19" s="3"/>
      <c r="F19" s="3" t="s">
        <v>80</v>
      </c>
      <c r="G19" s="3" t="s">
        <v>49</v>
      </c>
      <c r="H19" s="3">
        <v>1</v>
      </c>
      <c r="I19" s="7" t="s">
        <v>81</v>
      </c>
      <c r="J19" s="3">
        <v>3</v>
      </c>
      <c r="K19" s="3">
        <f t="shared" si="0"/>
        <v>3</v>
      </c>
      <c r="L19" s="7" t="s">
        <v>81</v>
      </c>
      <c r="M19" s="11" t="s">
        <v>14</v>
      </c>
      <c r="N19" s="3" t="s">
        <v>22</v>
      </c>
      <c r="O19" s="3">
        <v>3</v>
      </c>
      <c r="P19" s="3"/>
      <c r="Q19" s="6">
        <f>H19*O19</f>
        <v>3</v>
      </c>
    </row>
    <row r="20" spans="1:18" ht="12.75">
      <c r="A20" s="3"/>
      <c r="B20" s="3"/>
      <c r="C20" s="3"/>
      <c r="D20" s="3" t="s">
        <v>82</v>
      </c>
      <c r="E20" s="3"/>
      <c r="F20" s="3" t="s">
        <v>83</v>
      </c>
      <c r="G20" s="3" t="s">
        <v>84</v>
      </c>
      <c r="H20" s="3">
        <v>2</v>
      </c>
      <c r="I20" s="5" t="s">
        <v>85</v>
      </c>
      <c r="J20" s="3">
        <v>2.5</v>
      </c>
      <c r="K20" s="3">
        <f t="shared" si="0"/>
        <v>5</v>
      </c>
      <c r="L20" s="3" t="s">
        <v>14</v>
      </c>
      <c r="M20" s="11" t="s">
        <v>14</v>
      </c>
      <c r="N20" s="3" t="s">
        <v>22</v>
      </c>
      <c r="O20" s="3">
        <v>2.2999999999999998</v>
      </c>
      <c r="P20" s="3"/>
      <c r="Q20" s="6">
        <f>H20*O20</f>
        <v>4.5999999999999996</v>
      </c>
      <c r="R20" s="3"/>
    </row>
    <row r="21" spans="1:18" ht="12.75">
      <c r="A21" s="3"/>
      <c r="B21" s="3"/>
      <c r="C21" s="3"/>
      <c r="D21" s="3" t="s">
        <v>13</v>
      </c>
      <c r="E21" s="3"/>
      <c r="F21" s="3" t="s">
        <v>86</v>
      </c>
      <c r="G21" s="3" t="s">
        <v>49</v>
      </c>
      <c r="H21" s="3">
        <v>32</v>
      </c>
      <c r="I21" s="5" t="s">
        <v>87</v>
      </c>
      <c r="J21" s="3">
        <v>0.21</v>
      </c>
      <c r="K21" s="3">
        <f t="shared" si="0"/>
        <v>6.72</v>
      </c>
      <c r="L21" s="3" t="s">
        <v>14</v>
      </c>
      <c r="M21" s="11" t="s">
        <v>14</v>
      </c>
      <c r="N21" s="3" t="s">
        <v>22</v>
      </c>
      <c r="O21" s="3">
        <v>0.21</v>
      </c>
      <c r="P21" s="3"/>
      <c r="Q21" s="6">
        <f>H21*O21</f>
        <v>6.72</v>
      </c>
      <c r="R21" s="3"/>
    </row>
    <row r="22" spans="1:18" ht="12.75">
      <c r="A22" s="3"/>
      <c r="B22" s="3"/>
      <c r="C22" s="3"/>
      <c r="D22" s="3" t="s">
        <v>82</v>
      </c>
      <c r="E22" s="3"/>
      <c r="F22" s="3" t="s">
        <v>86</v>
      </c>
      <c r="G22" s="3" t="s">
        <v>49</v>
      </c>
      <c r="H22" s="3">
        <v>32</v>
      </c>
      <c r="I22" s="5" t="s">
        <v>88</v>
      </c>
      <c r="J22" s="3">
        <v>0.77</v>
      </c>
      <c r="K22" s="3">
        <f t="shared" si="0"/>
        <v>24.64</v>
      </c>
      <c r="L22" s="3" t="s">
        <v>14</v>
      </c>
      <c r="M22" s="11" t="s">
        <v>14</v>
      </c>
      <c r="N22" s="3" t="s">
        <v>22</v>
      </c>
      <c r="O22" s="3">
        <v>0.27</v>
      </c>
      <c r="P22" s="3"/>
      <c r="Q22" s="6">
        <f>H22*O22</f>
        <v>8.64</v>
      </c>
      <c r="R22" s="12" t="s">
        <v>89</v>
      </c>
    </row>
    <row r="23" spans="1:18" ht="12.75">
      <c r="A23" s="3"/>
      <c r="B23" s="3"/>
      <c r="C23" s="3"/>
      <c r="D23" s="3" t="s">
        <v>82</v>
      </c>
      <c r="E23" s="3"/>
      <c r="F23" s="3" t="s">
        <v>18</v>
      </c>
      <c r="G23" s="3" t="s">
        <v>90</v>
      </c>
      <c r="H23" s="6">
        <f>191*2</f>
        <v>382</v>
      </c>
      <c r="I23" s="7" t="s">
        <v>91</v>
      </c>
      <c r="J23" s="3">
        <v>2.3E-2</v>
      </c>
      <c r="K23" s="3">
        <f t="shared" si="0"/>
        <v>8.7859999999999996</v>
      </c>
      <c r="L23" s="3" t="s">
        <v>14</v>
      </c>
      <c r="M23" s="11" t="s">
        <v>14</v>
      </c>
      <c r="N23" s="3" t="s">
        <v>22</v>
      </c>
      <c r="O23" s="3">
        <v>2.3E-2</v>
      </c>
      <c r="P23" s="3"/>
      <c r="Q23" s="6">
        <f>H23*O23</f>
        <v>8.7859999999999996</v>
      </c>
    </row>
    <row r="24" spans="1:18" ht="12.75" hidden="1">
      <c r="A24" s="3"/>
      <c r="B24" s="3"/>
      <c r="C24" s="3"/>
      <c r="D24" s="3" t="s">
        <v>92</v>
      </c>
      <c r="E24" s="3"/>
      <c r="F24" s="3" t="s">
        <v>57</v>
      </c>
      <c r="H24" s="3">
        <v>1</v>
      </c>
      <c r="I24" s="5" t="s">
        <v>93</v>
      </c>
      <c r="J24" s="3">
        <v>12</v>
      </c>
      <c r="K24" s="3">
        <f t="shared" si="0"/>
        <v>12</v>
      </c>
      <c r="N24" s="3" t="s">
        <v>22</v>
      </c>
      <c r="O24" s="3">
        <v>12</v>
      </c>
      <c r="P24" s="3"/>
      <c r="Q24" s="6">
        <f>H24*O24</f>
        <v>12</v>
      </c>
    </row>
    <row r="25" spans="1:18" ht="12.75" hidden="1">
      <c r="A25" s="3"/>
      <c r="B25" s="3"/>
      <c r="C25" s="3"/>
      <c r="D25" s="3" t="s">
        <v>94</v>
      </c>
      <c r="E25" s="3"/>
      <c r="F25" s="3" t="s">
        <v>95</v>
      </c>
      <c r="G25" s="3" t="s">
        <v>49</v>
      </c>
      <c r="H25" s="3">
        <v>1</v>
      </c>
      <c r="I25" s="5" t="s">
        <v>93</v>
      </c>
      <c r="J25" s="3">
        <v>15</v>
      </c>
      <c r="K25" s="3">
        <f t="shared" si="0"/>
        <v>15</v>
      </c>
      <c r="L25" s="3" t="s">
        <v>14</v>
      </c>
      <c r="M25" s="11" t="s">
        <v>14</v>
      </c>
      <c r="N25" s="3" t="s">
        <v>22</v>
      </c>
      <c r="O25" s="3">
        <v>12</v>
      </c>
      <c r="P25" s="3"/>
      <c r="Q25" s="6">
        <f>H25*O25</f>
        <v>12</v>
      </c>
      <c r="R25" s="3" t="s">
        <v>96</v>
      </c>
    </row>
    <row r="26" spans="1:18" ht="12.75" hidden="1">
      <c r="A26" s="3"/>
      <c r="B26" s="3"/>
      <c r="C26" s="3"/>
      <c r="D26" s="3" t="s">
        <v>82</v>
      </c>
      <c r="E26" s="3"/>
      <c r="F26" s="3" t="s">
        <v>57</v>
      </c>
      <c r="H26" s="3">
        <v>2</v>
      </c>
      <c r="I26" s="5" t="s">
        <v>93</v>
      </c>
      <c r="J26" s="3">
        <v>12</v>
      </c>
      <c r="K26" s="3">
        <f t="shared" si="0"/>
        <v>24</v>
      </c>
      <c r="N26" s="3" t="s">
        <v>22</v>
      </c>
      <c r="O26" s="3">
        <v>12</v>
      </c>
      <c r="P26" s="3"/>
      <c r="Q26" s="6">
        <f>H26*O26</f>
        <v>24</v>
      </c>
    </row>
    <row r="27" spans="1:18" ht="12.75">
      <c r="D27" s="3" t="s">
        <v>13</v>
      </c>
      <c r="E27" s="3"/>
      <c r="F27" s="3" t="s">
        <v>97</v>
      </c>
      <c r="G27" s="3" t="s">
        <v>98</v>
      </c>
      <c r="H27" s="3">
        <v>1</v>
      </c>
      <c r="I27" s="7" t="s">
        <v>99</v>
      </c>
      <c r="J27" s="3">
        <v>0.41</v>
      </c>
      <c r="K27" s="3">
        <f t="shared" si="0"/>
        <v>0.41</v>
      </c>
      <c r="L27" s="3" t="s">
        <v>14</v>
      </c>
      <c r="M27" s="16" t="s">
        <v>99</v>
      </c>
      <c r="N27" s="3" t="s">
        <v>100</v>
      </c>
      <c r="O27" s="3">
        <v>0</v>
      </c>
      <c r="P27" s="3"/>
      <c r="Q27" s="6">
        <f>H27*O27</f>
        <v>0</v>
      </c>
      <c r="R27" s="3" t="s">
        <v>101</v>
      </c>
    </row>
    <row r="28" spans="1:18" ht="12.75">
      <c r="D28" s="3" t="s">
        <v>17</v>
      </c>
      <c r="E28" s="19" t="s">
        <v>170</v>
      </c>
      <c r="F28" s="3" t="s">
        <v>102</v>
      </c>
      <c r="G28" s="3" t="s">
        <v>103</v>
      </c>
      <c r="H28" s="3">
        <v>2</v>
      </c>
      <c r="I28" s="5" t="s">
        <v>104</v>
      </c>
      <c r="J28" s="3">
        <v>1.0999999999999999E-2</v>
      </c>
      <c r="K28" s="3">
        <f t="shared" si="0"/>
        <v>2.1999999999999999E-2</v>
      </c>
      <c r="L28" s="3" t="s">
        <v>14</v>
      </c>
      <c r="M28" s="17" t="s">
        <v>147</v>
      </c>
      <c r="N28" s="3" t="s">
        <v>100</v>
      </c>
      <c r="O28" s="3">
        <v>1.0999999999999999E-2</v>
      </c>
      <c r="P28" s="3"/>
      <c r="Q28" s="6">
        <f>H28*O28</f>
        <v>2.1999999999999999E-2</v>
      </c>
      <c r="R28" s="3" t="s">
        <v>105</v>
      </c>
    </row>
    <row r="29" spans="1:18" ht="14.25">
      <c r="A29" s="3"/>
      <c r="B29" s="3"/>
      <c r="C29" s="3"/>
      <c r="D29" s="3" t="s">
        <v>82</v>
      </c>
      <c r="E29" s="19" t="s">
        <v>170</v>
      </c>
      <c r="F29" s="3" t="s">
        <v>102</v>
      </c>
      <c r="G29" s="13" t="s">
        <v>106</v>
      </c>
      <c r="H29" s="3">
        <v>2</v>
      </c>
      <c r="I29" s="5" t="s">
        <v>104</v>
      </c>
      <c r="J29" s="3">
        <v>1.0999999999999999E-2</v>
      </c>
      <c r="K29" s="3">
        <f t="shared" si="0"/>
        <v>2.1999999999999999E-2</v>
      </c>
      <c r="L29" s="3" t="s">
        <v>14</v>
      </c>
      <c r="M29" s="17" t="s">
        <v>147</v>
      </c>
      <c r="N29" s="3" t="s">
        <v>100</v>
      </c>
      <c r="O29" s="3">
        <v>1.0999999999999999E-2</v>
      </c>
      <c r="P29" s="3"/>
      <c r="Q29" s="6">
        <f>H29*O29</f>
        <v>2.1999999999999999E-2</v>
      </c>
      <c r="R29" s="3" t="s">
        <v>107</v>
      </c>
    </row>
    <row r="30" spans="1:18" ht="12.75">
      <c r="A30" s="3"/>
      <c r="B30" s="3"/>
      <c r="C30" s="3"/>
      <c r="D30" s="3" t="s">
        <v>13</v>
      </c>
      <c r="E30" s="19" t="s">
        <v>171</v>
      </c>
      <c r="F30" s="3" t="s">
        <v>108</v>
      </c>
      <c r="G30" s="3" t="s">
        <v>109</v>
      </c>
      <c r="H30" s="3">
        <v>1</v>
      </c>
      <c r="I30" s="7" t="s">
        <v>110</v>
      </c>
      <c r="J30" s="3">
        <v>0.16</v>
      </c>
      <c r="K30" s="3">
        <f t="shared" si="0"/>
        <v>0.16</v>
      </c>
      <c r="L30" s="3" t="s">
        <v>111</v>
      </c>
      <c r="M30" s="5" t="s">
        <v>110</v>
      </c>
      <c r="N30" s="3" t="s">
        <v>100</v>
      </c>
      <c r="O30" s="3">
        <v>0.03</v>
      </c>
      <c r="P30" s="3"/>
      <c r="Q30" s="6">
        <f>H30*O30</f>
        <v>0.03</v>
      </c>
      <c r="R30" s="3" t="s">
        <v>112</v>
      </c>
    </row>
    <row r="31" spans="1:18" ht="12.75">
      <c r="A31" s="3"/>
      <c r="B31" s="3"/>
      <c r="C31" s="3"/>
      <c r="D31" s="3" t="s">
        <v>13</v>
      </c>
      <c r="E31" s="19" t="s">
        <v>171</v>
      </c>
      <c r="F31" s="3" t="s">
        <v>113</v>
      </c>
      <c r="G31" s="3" t="s">
        <v>114</v>
      </c>
      <c r="H31" s="3">
        <v>1</v>
      </c>
      <c r="I31" s="7" t="s">
        <v>115</v>
      </c>
      <c r="J31" s="3">
        <v>0.12</v>
      </c>
      <c r="K31" s="3">
        <f t="shared" si="0"/>
        <v>0.12</v>
      </c>
      <c r="L31" s="3" t="s">
        <v>111</v>
      </c>
      <c r="M31" s="5" t="s">
        <v>110</v>
      </c>
      <c r="N31" s="3" t="s">
        <v>100</v>
      </c>
      <c r="O31" s="3">
        <v>0.03</v>
      </c>
      <c r="P31" s="3"/>
      <c r="Q31" s="6">
        <f>H31*O31</f>
        <v>0.03</v>
      </c>
    </row>
    <row r="32" spans="1:18" ht="12.75">
      <c r="A32" s="3"/>
      <c r="B32" s="3"/>
      <c r="C32" s="3"/>
      <c r="D32" s="3" t="s">
        <v>13</v>
      </c>
      <c r="E32" s="3"/>
      <c r="F32" s="3" t="s">
        <v>116</v>
      </c>
      <c r="G32" s="3" t="s">
        <v>117</v>
      </c>
      <c r="H32" s="3">
        <v>1</v>
      </c>
      <c r="I32" s="7" t="s">
        <v>118</v>
      </c>
      <c r="J32" s="3">
        <v>0.16</v>
      </c>
      <c r="K32" s="3">
        <f t="shared" si="0"/>
        <v>0.16</v>
      </c>
      <c r="L32" s="3" t="s">
        <v>119</v>
      </c>
      <c r="M32" s="5" t="s">
        <v>118</v>
      </c>
      <c r="N32" s="3" t="s">
        <v>100</v>
      </c>
      <c r="O32" s="3">
        <v>0.03</v>
      </c>
      <c r="P32" s="3"/>
      <c r="Q32" s="6">
        <f>H32*O32</f>
        <v>0.03</v>
      </c>
    </row>
    <row r="33" spans="1:18" ht="12.75">
      <c r="A33" s="3"/>
      <c r="B33" s="3"/>
      <c r="C33" s="3"/>
      <c r="D33" s="3" t="s">
        <v>13</v>
      </c>
      <c r="E33" s="3"/>
      <c r="F33" s="3" t="s">
        <v>120</v>
      </c>
      <c r="G33" s="3" t="s">
        <v>121</v>
      </c>
      <c r="H33" s="3">
        <v>1</v>
      </c>
      <c r="I33" s="7" t="s">
        <v>122</v>
      </c>
      <c r="J33" s="3">
        <v>0.05</v>
      </c>
      <c r="K33" s="3">
        <f t="shared" si="0"/>
        <v>0.05</v>
      </c>
      <c r="L33" s="3" t="s">
        <v>123</v>
      </c>
      <c r="M33" s="16" t="s">
        <v>148</v>
      </c>
      <c r="N33" s="3" t="s">
        <v>100</v>
      </c>
      <c r="O33" s="3">
        <v>0.04</v>
      </c>
      <c r="P33" s="3"/>
      <c r="Q33" s="6">
        <f>H33*O33</f>
        <v>0.04</v>
      </c>
      <c r="R33" s="3"/>
    </row>
    <row r="34" spans="1:18" ht="12.75">
      <c r="A34" s="3"/>
      <c r="B34" s="3"/>
      <c r="C34" s="3"/>
      <c r="D34" s="3" t="s">
        <v>94</v>
      </c>
      <c r="E34" s="19" t="s">
        <v>170</v>
      </c>
      <c r="F34" s="3" t="s">
        <v>102</v>
      </c>
      <c r="G34" s="3" t="s">
        <v>49</v>
      </c>
      <c r="H34" s="3">
        <v>4</v>
      </c>
      <c r="I34" s="5" t="s">
        <v>104</v>
      </c>
      <c r="J34" s="3">
        <v>1.0999999999999999E-2</v>
      </c>
      <c r="K34" s="3">
        <f t="shared" si="0"/>
        <v>4.3999999999999997E-2</v>
      </c>
      <c r="L34" s="3" t="s">
        <v>14</v>
      </c>
      <c r="M34" s="17" t="s">
        <v>147</v>
      </c>
      <c r="N34" s="3" t="s">
        <v>100</v>
      </c>
      <c r="O34" s="3">
        <v>1.0999999999999999E-2</v>
      </c>
      <c r="P34" s="3"/>
      <c r="Q34" s="6">
        <f>H34*O34</f>
        <v>4.3999999999999997E-2</v>
      </c>
      <c r="R34" s="3"/>
    </row>
    <row r="35" spans="1:18" ht="15">
      <c r="A35" s="3"/>
      <c r="B35" s="3"/>
      <c r="C35" s="3"/>
      <c r="D35" s="3" t="s">
        <v>13</v>
      </c>
      <c r="E35" s="19" t="s">
        <v>170</v>
      </c>
      <c r="F35" s="3" t="s">
        <v>102</v>
      </c>
      <c r="G35" s="9" t="s">
        <v>124</v>
      </c>
      <c r="H35" s="3">
        <v>7</v>
      </c>
      <c r="I35" s="5" t="s">
        <v>104</v>
      </c>
      <c r="J35" s="3">
        <v>1.0999999999999999E-2</v>
      </c>
      <c r="K35" s="3">
        <f t="shared" si="0"/>
        <v>7.6999999999999999E-2</v>
      </c>
      <c r="L35" s="3" t="s">
        <v>14</v>
      </c>
      <c r="M35" s="17" t="s">
        <v>147</v>
      </c>
      <c r="N35" s="3" t="s">
        <v>100</v>
      </c>
      <c r="O35" s="3">
        <v>1.0999999999999999E-2</v>
      </c>
      <c r="P35" s="3"/>
      <c r="Q35" s="6">
        <f>H35*O35</f>
        <v>7.6999999999999999E-2</v>
      </c>
      <c r="R35" s="3" t="s">
        <v>107</v>
      </c>
    </row>
    <row r="36" spans="1:18" ht="12.75">
      <c r="A36" s="3"/>
      <c r="B36" s="3"/>
      <c r="C36" s="3"/>
      <c r="D36" s="3" t="s">
        <v>13</v>
      </c>
      <c r="E36" s="3"/>
      <c r="F36" s="3" t="s">
        <v>125</v>
      </c>
      <c r="G36" s="3" t="s">
        <v>126</v>
      </c>
      <c r="H36" s="3">
        <v>1</v>
      </c>
      <c r="I36" s="7" t="s">
        <v>127</v>
      </c>
      <c r="J36" s="3">
        <v>0.15</v>
      </c>
      <c r="K36" s="3">
        <f t="shared" si="0"/>
        <v>0.15</v>
      </c>
      <c r="L36" s="3" t="s">
        <v>14</v>
      </c>
      <c r="M36" s="17" t="s">
        <v>149</v>
      </c>
      <c r="N36" s="3" t="s">
        <v>100</v>
      </c>
      <c r="O36" s="3">
        <v>0.15</v>
      </c>
      <c r="P36" s="3"/>
      <c r="Q36" s="6">
        <f>H36*O36</f>
        <v>0.15</v>
      </c>
      <c r="R36" s="3" t="s">
        <v>128</v>
      </c>
    </row>
    <row r="37" spans="1:18" ht="12.75">
      <c r="A37" s="3"/>
      <c r="B37" s="3"/>
      <c r="C37" s="3"/>
      <c r="D37" s="3" t="s">
        <v>79</v>
      </c>
      <c r="E37" s="3"/>
      <c r="F37" s="3" t="s">
        <v>129</v>
      </c>
      <c r="G37" s="3" t="s">
        <v>49</v>
      </c>
      <c r="H37" s="3">
        <v>1</v>
      </c>
      <c r="I37" s="7" t="s">
        <v>130</v>
      </c>
      <c r="J37" s="3">
        <v>1</v>
      </c>
      <c r="K37" s="3">
        <f t="shared" si="0"/>
        <v>1</v>
      </c>
      <c r="L37" s="3" t="s">
        <v>131</v>
      </c>
      <c r="M37" s="17" t="s">
        <v>130</v>
      </c>
      <c r="N37" s="3" t="s">
        <v>100</v>
      </c>
      <c r="O37" s="3">
        <v>0.28999999999999998</v>
      </c>
      <c r="P37" s="3"/>
      <c r="Q37" s="6">
        <f>H37*O37</f>
        <v>0.28999999999999998</v>
      </c>
      <c r="R37" s="3" t="s">
        <v>132</v>
      </c>
    </row>
    <row r="38" spans="1:18" ht="12.75">
      <c r="A38" s="3"/>
      <c r="B38" s="3"/>
      <c r="C38" s="3"/>
      <c r="D38" s="3" t="s">
        <v>17</v>
      </c>
      <c r="E38" s="19" t="s">
        <v>172</v>
      </c>
      <c r="F38" s="3" t="s">
        <v>133</v>
      </c>
      <c r="H38" s="3">
        <v>28</v>
      </c>
      <c r="I38" s="7" t="s">
        <v>134</v>
      </c>
      <c r="J38" s="3">
        <v>0.11</v>
      </c>
      <c r="K38" s="3">
        <f t="shared" si="0"/>
        <v>3.08</v>
      </c>
      <c r="L38" s="3" t="s">
        <v>14</v>
      </c>
      <c r="M38" s="5" t="s">
        <v>135</v>
      </c>
      <c r="N38" s="3" t="s">
        <v>100</v>
      </c>
      <c r="O38" s="3">
        <v>0.02</v>
      </c>
      <c r="P38" s="3"/>
      <c r="Q38" s="6">
        <f>H38*O38</f>
        <v>0.56000000000000005</v>
      </c>
      <c r="R38" s="3" t="s">
        <v>136</v>
      </c>
    </row>
    <row r="39" spans="1:18" ht="12.75">
      <c r="A39" s="3"/>
      <c r="B39" s="3"/>
      <c r="C39" s="3"/>
      <c r="D39" s="3" t="s">
        <v>13</v>
      </c>
      <c r="E39" s="3"/>
      <c r="F39" s="3" t="s">
        <v>137</v>
      </c>
      <c r="G39" s="3" t="s">
        <v>15</v>
      </c>
      <c r="H39" s="3">
        <v>1</v>
      </c>
      <c r="I39" s="7" t="s">
        <v>16</v>
      </c>
      <c r="J39" s="3">
        <v>0.41</v>
      </c>
      <c r="K39" s="3">
        <f t="shared" si="0"/>
        <v>0.41</v>
      </c>
      <c r="L39" s="3" t="s">
        <v>138</v>
      </c>
      <c r="M39" s="16" t="s">
        <v>151</v>
      </c>
      <c r="N39" s="3" t="s">
        <v>100</v>
      </c>
      <c r="O39" s="3">
        <v>1.1000000000000001</v>
      </c>
      <c r="P39" s="3"/>
      <c r="Q39" s="6">
        <f>H39*O39</f>
        <v>1.1000000000000001</v>
      </c>
      <c r="R39" s="3" t="s">
        <v>139</v>
      </c>
    </row>
    <row r="40" spans="1:18" ht="12.75">
      <c r="D40" s="3" t="s">
        <v>92</v>
      </c>
      <c r="E40" s="3"/>
      <c r="F40" s="3" t="s">
        <v>140</v>
      </c>
      <c r="G40" s="3" t="s">
        <v>49</v>
      </c>
      <c r="H40" s="3">
        <v>1</v>
      </c>
      <c r="I40" s="18" t="s">
        <v>165</v>
      </c>
      <c r="J40" s="3">
        <v>2.4</v>
      </c>
      <c r="K40" s="3">
        <f t="shared" si="0"/>
        <v>2.4</v>
      </c>
      <c r="L40" s="3"/>
      <c r="M40" s="17" t="s">
        <v>150</v>
      </c>
      <c r="N40" s="19" t="s">
        <v>22</v>
      </c>
      <c r="O40" s="3">
        <v>2.4</v>
      </c>
      <c r="P40" s="3"/>
      <c r="Q40" s="6">
        <f>H40*O40</f>
        <v>2.4</v>
      </c>
      <c r="R40" s="19" t="s">
        <v>166</v>
      </c>
    </row>
    <row r="41" spans="1:18" ht="12.75">
      <c r="A41" s="3"/>
      <c r="B41" s="3"/>
      <c r="C41" s="3"/>
      <c r="D41" s="3" t="s">
        <v>82</v>
      </c>
      <c r="E41" s="3"/>
      <c r="F41" s="3" t="s">
        <v>48</v>
      </c>
      <c r="G41" s="3" t="s">
        <v>49</v>
      </c>
      <c r="H41" s="3">
        <v>6</v>
      </c>
      <c r="I41" s="7" t="s">
        <v>141</v>
      </c>
      <c r="J41" s="3">
        <v>0.85</v>
      </c>
      <c r="K41" s="3">
        <f t="shared" si="0"/>
        <v>5.0999999999999996</v>
      </c>
      <c r="L41" s="3" t="s">
        <v>14</v>
      </c>
      <c r="M41" s="16" t="s">
        <v>152</v>
      </c>
      <c r="N41" s="3" t="s">
        <v>100</v>
      </c>
      <c r="O41" s="3">
        <v>0.71</v>
      </c>
      <c r="P41" s="3"/>
      <c r="Q41" s="6">
        <f>H41*O41</f>
        <v>4.26</v>
      </c>
      <c r="R41" s="3"/>
    </row>
    <row r="42" spans="1:18" ht="12.75">
      <c r="A42" s="3"/>
      <c r="B42" s="3"/>
      <c r="C42" s="3"/>
      <c r="D42" s="3" t="s">
        <v>82</v>
      </c>
      <c r="E42" s="19" t="s">
        <v>172</v>
      </c>
      <c r="F42" s="3" t="s">
        <v>133</v>
      </c>
      <c r="H42" s="6">
        <f>1236*2</f>
        <v>2472</v>
      </c>
      <c r="I42" s="7" t="s">
        <v>134</v>
      </c>
      <c r="J42" s="3">
        <v>0.11</v>
      </c>
      <c r="K42" s="3">
        <f t="shared" si="0"/>
        <v>271.92</v>
      </c>
      <c r="L42" s="3" t="s">
        <v>14</v>
      </c>
      <c r="M42" s="5" t="s">
        <v>135</v>
      </c>
      <c r="N42" s="3" t="s">
        <v>100</v>
      </c>
      <c r="O42" s="3">
        <v>2.5000000000000001E-2</v>
      </c>
      <c r="P42" s="3"/>
      <c r="Q42" s="6">
        <f>H42*O42</f>
        <v>61.800000000000004</v>
      </c>
      <c r="R42" s="3" t="s">
        <v>142</v>
      </c>
    </row>
    <row r="43" spans="1:18" ht="12.75">
      <c r="A43" s="3"/>
      <c r="B43" s="3"/>
      <c r="C43" s="3"/>
      <c r="D43" s="3" t="s">
        <v>13</v>
      </c>
      <c r="E43" s="3"/>
      <c r="F43" s="3" t="s">
        <v>143</v>
      </c>
      <c r="G43" s="3" t="s">
        <v>144</v>
      </c>
      <c r="H43" s="3">
        <v>1</v>
      </c>
      <c r="I43" s="5" t="s">
        <v>145</v>
      </c>
      <c r="J43" s="3">
        <v>0.03</v>
      </c>
      <c r="K43" s="3">
        <f t="shared" si="0"/>
        <v>0.03</v>
      </c>
      <c r="L43" s="3" t="s">
        <v>14</v>
      </c>
      <c r="M43" s="11" t="s">
        <v>14</v>
      </c>
      <c r="N43" s="3"/>
      <c r="O43" s="3">
        <v>0.03</v>
      </c>
      <c r="P43" s="3"/>
      <c r="Q43" s="6">
        <f>H43*O43</f>
        <v>0.03</v>
      </c>
      <c r="R43" s="3" t="s">
        <v>146</v>
      </c>
    </row>
    <row r="44" spans="1:18" ht="12.75">
      <c r="I44" s="11"/>
    </row>
    <row r="45" spans="1:18" ht="12.75">
      <c r="I45" s="11"/>
      <c r="N45" s="1"/>
    </row>
    <row r="46" spans="1:18" ht="12.75">
      <c r="I46" s="11"/>
      <c r="Q46" s="14"/>
    </row>
    <row r="47" spans="1:18" ht="12.75">
      <c r="I47" s="11"/>
    </row>
    <row r="48" spans="1:18" ht="12.75">
      <c r="I48" s="11"/>
    </row>
    <row r="49" spans="9:9" ht="12.75">
      <c r="I49" s="11"/>
    </row>
    <row r="50" spans="9:9" ht="12.75">
      <c r="I50" s="11"/>
    </row>
    <row r="51" spans="9:9" ht="12.75">
      <c r="I51" s="11"/>
    </row>
    <row r="52" spans="9:9" ht="12.75">
      <c r="I52" s="11"/>
    </row>
    <row r="53" spans="9:9" ht="12.75">
      <c r="I53" s="11"/>
    </row>
    <row r="54" spans="9:9" ht="12.75">
      <c r="I54" s="11"/>
    </row>
    <row r="55" spans="9:9" ht="12.75">
      <c r="I55" s="11"/>
    </row>
    <row r="56" spans="9:9" ht="12.75">
      <c r="I56" s="11"/>
    </row>
    <row r="57" spans="9:9" ht="12.75">
      <c r="I57" s="11"/>
    </row>
    <row r="58" spans="9:9" ht="12.75">
      <c r="I58" s="11"/>
    </row>
    <row r="59" spans="9:9" ht="12.75">
      <c r="I59" s="11"/>
    </row>
    <row r="60" spans="9:9" ht="12.75">
      <c r="I60" s="11"/>
    </row>
    <row r="61" spans="9:9" ht="12.75">
      <c r="I61" s="11"/>
    </row>
    <row r="62" spans="9:9" ht="12.75">
      <c r="I62" s="11"/>
    </row>
    <row r="63" spans="9:9" ht="12.75">
      <c r="I63" s="11"/>
    </row>
    <row r="64" spans="9:9" ht="12.75">
      <c r="I64" s="11"/>
    </row>
    <row r="65" spans="9:9" ht="12.75">
      <c r="I65" s="11"/>
    </row>
    <row r="66" spans="9:9" ht="12.75">
      <c r="I66" s="11"/>
    </row>
    <row r="67" spans="9:9" ht="12.75">
      <c r="I67" s="11"/>
    </row>
    <row r="68" spans="9:9" ht="12.75">
      <c r="I68" s="11"/>
    </row>
    <row r="69" spans="9:9" ht="12.75">
      <c r="I69" s="11"/>
    </row>
    <row r="70" spans="9:9" ht="12.75">
      <c r="I70" s="11"/>
    </row>
    <row r="71" spans="9:9" ht="12.75">
      <c r="I71" s="11"/>
    </row>
    <row r="72" spans="9:9" ht="12.75">
      <c r="I72" s="11"/>
    </row>
    <row r="73" spans="9:9" ht="12.75">
      <c r="I73" s="11"/>
    </row>
    <row r="74" spans="9:9" ht="12.75">
      <c r="I74" s="11"/>
    </row>
    <row r="75" spans="9:9" ht="12.75">
      <c r="I75" s="11"/>
    </row>
    <row r="76" spans="9:9" ht="12.75">
      <c r="I76" s="11"/>
    </row>
    <row r="77" spans="9:9" ht="12.75">
      <c r="I77" s="11"/>
    </row>
    <row r="78" spans="9:9" ht="12.75">
      <c r="I78" s="11"/>
    </row>
    <row r="79" spans="9:9" ht="12.75">
      <c r="I79" s="11"/>
    </row>
    <row r="80" spans="9:9" ht="12.75">
      <c r="I80" s="11"/>
    </row>
    <row r="81" spans="9:9" ht="12.75">
      <c r="I81" s="11"/>
    </row>
    <row r="82" spans="9:9" ht="12.75">
      <c r="I82" s="11"/>
    </row>
    <row r="83" spans="9:9" ht="12.75">
      <c r="I83" s="11"/>
    </row>
    <row r="84" spans="9:9" ht="12.75">
      <c r="I84" s="11"/>
    </row>
    <row r="85" spans="9:9" ht="12.75">
      <c r="I85" s="11"/>
    </row>
    <row r="86" spans="9:9" ht="12.75">
      <c r="I86" s="11"/>
    </row>
    <row r="87" spans="9:9" ht="12.75">
      <c r="I87" s="11"/>
    </row>
    <row r="88" spans="9:9" ht="12.75">
      <c r="I88" s="11"/>
    </row>
    <row r="89" spans="9:9" ht="12.75">
      <c r="I89" s="11"/>
    </row>
    <row r="90" spans="9:9" ht="12.75">
      <c r="I90" s="11"/>
    </row>
    <row r="91" spans="9:9" ht="12.75">
      <c r="I91" s="11"/>
    </row>
    <row r="92" spans="9:9" ht="12.75">
      <c r="I92" s="11"/>
    </row>
    <row r="93" spans="9:9" ht="12.75">
      <c r="I93" s="11"/>
    </row>
    <row r="94" spans="9:9" ht="12.75">
      <c r="I94" s="11"/>
    </row>
    <row r="95" spans="9:9" ht="12.75">
      <c r="I95" s="11"/>
    </row>
    <row r="96" spans="9:9" ht="12.75">
      <c r="I96" s="11"/>
    </row>
    <row r="97" spans="9:9" ht="12.75">
      <c r="I97" s="11"/>
    </row>
    <row r="98" spans="9:9" ht="12.75">
      <c r="I98" s="11"/>
    </row>
    <row r="99" spans="9:9" ht="12.75">
      <c r="I99" s="11"/>
    </row>
    <row r="100" spans="9:9" ht="12.75">
      <c r="I100" s="11"/>
    </row>
    <row r="101" spans="9:9" ht="12.75">
      <c r="I101" s="11"/>
    </row>
    <row r="102" spans="9:9" ht="12.75">
      <c r="I102" s="11"/>
    </row>
    <row r="103" spans="9:9" ht="12.75">
      <c r="I103" s="11"/>
    </row>
    <row r="104" spans="9:9" ht="12.75">
      <c r="I104" s="11"/>
    </row>
    <row r="105" spans="9:9" ht="12.75">
      <c r="I105" s="11"/>
    </row>
    <row r="106" spans="9:9" ht="12.75">
      <c r="I106" s="11"/>
    </row>
    <row r="107" spans="9:9" ht="12.75">
      <c r="I107" s="11"/>
    </row>
    <row r="108" spans="9:9" ht="12.75">
      <c r="I108" s="11"/>
    </row>
    <row r="109" spans="9:9" ht="12.75">
      <c r="I109" s="11"/>
    </row>
    <row r="110" spans="9:9" ht="12.75">
      <c r="I110" s="11"/>
    </row>
    <row r="111" spans="9:9" ht="12.75">
      <c r="I111" s="11"/>
    </row>
    <row r="112" spans="9:9" ht="12.75">
      <c r="I112" s="11"/>
    </row>
    <row r="113" spans="9:9" ht="12.75">
      <c r="I113" s="11"/>
    </row>
    <row r="114" spans="9:9" ht="12.75">
      <c r="I114" s="11"/>
    </row>
    <row r="115" spans="9:9" ht="12.75">
      <c r="I115" s="11"/>
    </row>
    <row r="116" spans="9:9" ht="12.75">
      <c r="I116" s="11"/>
    </row>
    <row r="117" spans="9:9" ht="12.75">
      <c r="I117" s="11"/>
    </row>
    <row r="118" spans="9:9" ht="12.75">
      <c r="I118" s="11"/>
    </row>
    <row r="119" spans="9:9" ht="12.75">
      <c r="I119" s="11"/>
    </row>
    <row r="120" spans="9:9" ht="12.75">
      <c r="I120" s="11"/>
    </row>
    <row r="121" spans="9:9" ht="12.75">
      <c r="I121" s="11"/>
    </row>
    <row r="122" spans="9:9" ht="12.75">
      <c r="I122" s="11"/>
    </row>
    <row r="123" spans="9:9" ht="12.75">
      <c r="I123" s="11"/>
    </row>
    <row r="124" spans="9:9" ht="12.75">
      <c r="I124" s="11"/>
    </row>
    <row r="125" spans="9:9" ht="12.75">
      <c r="I125" s="11"/>
    </row>
    <row r="126" spans="9:9" ht="12.75">
      <c r="I126" s="11"/>
    </row>
    <row r="127" spans="9:9" ht="12.75">
      <c r="I127" s="11"/>
    </row>
    <row r="128" spans="9:9" ht="12.75">
      <c r="I128" s="11"/>
    </row>
    <row r="129" spans="9:9" ht="12.75">
      <c r="I129" s="11"/>
    </row>
    <row r="130" spans="9:9" ht="12.75">
      <c r="I130" s="11"/>
    </row>
    <row r="131" spans="9:9" ht="12.75">
      <c r="I131" s="11"/>
    </row>
    <row r="132" spans="9:9" ht="12.75">
      <c r="I132" s="11"/>
    </row>
    <row r="133" spans="9:9" ht="12.75">
      <c r="I133" s="11"/>
    </row>
    <row r="134" spans="9:9" ht="12.75">
      <c r="I134" s="11"/>
    </row>
    <row r="135" spans="9:9" ht="12.75">
      <c r="I135" s="11"/>
    </row>
    <row r="136" spans="9:9" ht="12.75">
      <c r="I136" s="11"/>
    </row>
    <row r="137" spans="9:9" ht="12.75">
      <c r="I137" s="11"/>
    </row>
    <row r="138" spans="9:9" ht="12.75">
      <c r="I138" s="11"/>
    </row>
    <row r="139" spans="9:9" ht="12.75">
      <c r="I139" s="11"/>
    </row>
    <row r="140" spans="9:9" ht="12.75">
      <c r="I140" s="11"/>
    </row>
    <row r="141" spans="9:9" ht="12.75">
      <c r="I141" s="11"/>
    </row>
    <row r="142" spans="9:9" ht="12.75">
      <c r="I142" s="11"/>
    </row>
    <row r="143" spans="9:9" ht="12.75">
      <c r="I143" s="11"/>
    </row>
    <row r="144" spans="9:9" ht="12.75">
      <c r="I144" s="11"/>
    </row>
    <row r="145" spans="9:9" ht="12.75">
      <c r="I145" s="11"/>
    </row>
    <row r="146" spans="9:9" ht="12.75">
      <c r="I146" s="11"/>
    </row>
    <row r="147" spans="9:9" ht="12.75">
      <c r="I147" s="11"/>
    </row>
    <row r="148" spans="9:9" ht="12.75">
      <c r="I148" s="11"/>
    </row>
    <row r="149" spans="9:9" ht="12.75">
      <c r="I149" s="11"/>
    </row>
    <row r="150" spans="9:9" ht="12.75">
      <c r="I150" s="11"/>
    </row>
    <row r="151" spans="9:9" ht="12.75">
      <c r="I151" s="11"/>
    </row>
    <row r="152" spans="9:9" ht="12.75">
      <c r="I152" s="11"/>
    </row>
    <row r="153" spans="9:9" ht="12.75">
      <c r="I153" s="11"/>
    </row>
    <row r="154" spans="9:9" ht="12.75">
      <c r="I154" s="11"/>
    </row>
    <row r="155" spans="9:9" ht="12.75">
      <c r="I155" s="11"/>
    </row>
    <row r="156" spans="9:9" ht="12.75">
      <c r="I156" s="11"/>
    </row>
    <row r="157" spans="9:9" ht="12.75">
      <c r="I157" s="11"/>
    </row>
    <row r="158" spans="9:9" ht="12.75">
      <c r="I158" s="11"/>
    </row>
    <row r="159" spans="9:9" ht="12.75">
      <c r="I159" s="11"/>
    </row>
    <row r="160" spans="9:9" ht="12.75">
      <c r="I160" s="11"/>
    </row>
    <row r="161" spans="9:9" ht="12.75">
      <c r="I161" s="11"/>
    </row>
    <row r="162" spans="9:9" ht="12.75">
      <c r="I162" s="11"/>
    </row>
    <row r="163" spans="9:9" ht="12.75">
      <c r="I163" s="11"/>
    </row>
    <row r="164" spans="9:9" ht="12.75">
      <c r="I164" s="11"/>
    </row>
    <row r="165" spans="9:9" ht="12.75">
      <c r="I165" s="11"/>
    </row>
    <row r="166" spans="9:9" ht="12.75">
      <c r="I166" s="11"/>
    </row>
    <row r="167" spans="9:9" ht="12.75">
      <c r="I167" s="11"/>
    </row>
    <row r="168" spans="9:9" ht="12.75">
      <c r="I168" s="11"/>
    </row>
    <row r="169" spans="9:9" ht="12.75">
      <c r="I169" s="11"/>
    </row>
    <row r="170" spans="9:9" ht="12.75">
      <c r="I170" s="11"/>
    </row>
    <row r="171" spans="9:9" ht="12.75">
      <c r="I171" s="11"/>
    </row>
    <row r="172" spans="9:9" ht="12.75">
      <c r="I172" s="11"/>
    </row>
    <row r="173" spans="9:9" ht="12.75">
      <c r="I173" s="11"/>
    </row>
    <row r="174" spans="9:9" ht="12.75">
      <c r="I174" s="11"/>
    </row>
    <row r="175" spans="9:9" ht="12.75">
      <c r="I175" s="11"/>
    </row>
    <row r="176" spans="9:9" ht="12.75">
      <c r="I176" s="11"/>
    </row>
    <row r="177" spans="9:9" ht="12.75">
      <c r="I177" s="11"/>
    </row>
    <row r="178" spans="9:9" ht="12.75">
      <c r="I178" s="11"/>
    </row>
    <row r="179" spans="9:9" ht="12.75">
      <c r="I179" s="11"/>
    </row>
    <row r="180" spans="9:9" ht="12.75">
      <c r="I180" s="11"/>
    </row>
    <row r="181" spans="9:9" ht="12.75">
      <c r="I181" s="11"/>
    </row>
    <row r="182" spans="9:9" ht="12.75">
      <c r="I182" s="11"/>
    </row>
    <row r="183" spans="9:9" ht="12.75">
      <c r="I183" s="11"/>
    </row>
    <row r="184" spans="9:9" ht="12.75">
      <c r="I184" s="11"/>
    </row>
    <row r="185" spans="9:9" ht="12.75">
      <c r="I185" s="11"/>
    </row>
    <row r="186" spans="9:9" ht="12.75">
      <c r="I186" s="11"/>
    </row>
    <row r="187" spans="9:9" ht="12.75">
      <c r="I187" s="11"/>
    </row>
    <row r="188" spans="9:9" ht="12.75">
      <c r="I188" s="11"/>
    </row>
    <row r="189" spans="9:9" ht="12.75">
      <c r="I189" s="11"/>
    </row>
    <row r="190" spans="9:9" ht="12.75">
      <c r="I190" s="11"/>
    </row>
    <row r="191" spans="9:9" ht="12.75">
      <c r="I191" s="11"/>
    </row>
    <row r="192" spans="9:9" ht="12.75">
      <c r="I192" s="11"/>
    </row>
    <row r="193" spans="9:9" ht="12.75">
      <c r="I193" s="11"/>
    </row>
    <row r="194" spans="9:9" ht="12.75">
      <c r="I194" s="11"/>
    </row>
    <row r="195" spans="9:9" ht="12.75">
      <c r="I195" s="11"/>
    </row>
    <row r="196" spans="9:9" ht="12.75">
      <c r="I196" s="11"/>
    </row>
    <row r="197" spans="9:9" ht="12.75">
      <c r="I197" s="11"/>
    </row>
    <row r="198" spans="9:9" ht="12.75">
      <c r="I198" s="11"/>
    </row>
    <row r="199" spans="9:9" ht="12.75">
      <c r="I199" s="11"/>
    </row>
    <row r="200" spans="9:9" ht="12.75">
      <c r="I200" s="11"/>
    </row>
    <row r="201" spans="9:9" ht="12.75">
      <c r="I201" s="11"/>
    </row>
    <row r="202" spans="9:9" ht="12.75">
      <c r="I202" s="11"/>
    </row>
    <row r="203" spans="9:9" ht="12.75">
      <c r="I203" s="11"/>
    </row>
    <row r="204" spans="9:9" ht="12.75">
      <c r="I204" s="11"/>
    </row>
    <row r="205" spans="9:9" ht="12.75">
      <c r="I205" s="11"/>
    </row>
    <row r="206" spans="9:9" ht="12.75">
      <c r="I206" s="11"/>
    </row>
    <row r="207" spans="9:9" ht="12.75">
      <c r="I207" s="11"/>
    </row>
    <row r="208" spans="9:9" ht="12.75">
      <c r="I208" s="11"/>
    </row>
    <row r="209" spans="9:9" ht="12.75">
      <c r="I209" s="11"/>
    </row>
    <row r="210" spans="9:9" ht="12.75">
      <c r="I210" s="11"/>
    </row>
    <row r="211" spans="9:9" ht="12.75">
      <c r="I211" s="11"/>
    </row>
    <row r="212" spans="9:9" ht="12.75">
      <c r="I212" s="11"/>
    </row>
    <row r="213" spans="9:9" ht="12.75">
      <c r="I213" s="11"/>
    </row>
    <row r="214" spans="9:9" ht="12.75">
      <c r="I214" s="11"/>
    </row>
    <row r="215" spans="9:9" ht="12.75">
      <c r="I215" s="11"/>
    </row>
    <row r="216" spans="9:9" ht="12.75">
      <c r="I216" s="11"/>
    </row>
    <row r="217" spans="9:9" ht="12.75">
      <c r="I217" s="11"/>
    </row>
    <row r="218" spans="9:9" ht="12.75">
      <c r="I218" s="11"/>
    </row>
    <row r="219" spans="9:9" ht="12.75">
      <c r="I219" s="11"/>
    </row>
    <row r="220" spans="9:9" ht="12.75">
      <c r="I220" s="11"/>
    </row>
    <row r="221" spans="9:9" ht="12.75">
      <c r="I221" s="11"/>
    </row>
    <row r="222" spans="9:9" ht="12.75">
      <c r="I222" s="11"/>
    </row>
    <row r="223" spans="9:9" ht="12.75">
      <c r="I223" s="11"/>
    </row>
    <row r="224" spans="9:9" ht="12.75">
      <c r="I224" s="11"/>
    </row>
    <row r="225" spans="9:9" ht="12.75">
      <c r="I225" s="11"/>
    </row>
    <row r="226" spans="9:9" ht="12.75">
      <c r="I226" s="11"/>
    </row>
    <row r="227" spans="9:9" ht="12.75">
      <c r="I227" s="11"/>
    </row>
    <row r="228" spans="9:9" ht="12.75">
      <c r="I228" s="11"/>
    </row>
    <row r="229" spans="9:9" ht="12.75">
      <c r="I229" s="11"/>
    </row>
    <row r="230" spans="9:9" ht="12.75">
      <c r="I230" s="11"/>
    </row>
    <row r="231" spans="9:9" ht="12.75">
      <c r="I231" s="11"/>
    </row>
    <row r="232" spans="9:9" ht="12.75">
      <c r="I232" s="11"/>
    </row>
    <row r="233" spans="9:9" ht="12.75">
      <c r="I233" s="11"/>
    </row>
    <row r="234" spans="9:9" ht="12.75">
      <c r="I234" s="11"/>
    </row>
    <row r="235" spans="9:9" ht="12.75">
      <c r="I235" s="11"/>
    </row>
    <row r="236" spans="9:9" ht="12.75">
      <c r="I236" s="11"/>
    </row>
    <row r="237" spans="9:9" ht="12.75">
      <c r="I237" s="11"/>
    </row>
    <row r="238" spans="9:9" ht="12.75">
      <c r="I238" s="11"/>
    </row>
    <row r="239" spans="9:9" ht="12.75">
      <c r="I239" s="11"/>
    </row>
    <row r="240" spans="9:9" ht="12.75">
      <c r="I240" s="11"/>
    </row>
    <row r="241" spans="9:9" ht="12.75">
      <c r="I241" s="11"/>
    </row>
    <row r="242" spans="9:9" ht="12.75">
      <c r="I242" s="11"/>
    </row>
    <row r="243" spans="9:9" ht="12.75">
      <c r="I243" s="11"/>
    </row>
    <row r="244" spans="9:9" ht="12.75">
      <c r="I244" s="11"/>
    </row>
    <row r="245" spans="9:9" ht="12.75">
      <c r="I245" s="11"/>
    </row>
    <row r="246" spans="9:9" ht="12.75">
      <c r="I246" s="11"/>
    </row>
    <row r="247" spans="9:9" ht="12.75">
      <c r="I247" s="11"/>
    </row>
    <row r="248" spans="9:9" ht="12.75">
      <c r="I248" s="11"/>
    </row>
    <row r="249" spans="9:9" ht="12.75">
      <c r="I249" s="11"/>
    </row>
    <row r="250" spans="9:9" ht="12.75">
      <c r="I250" s="11"/>
    </row>
    <row r="251" spans="9:9" ht="12.75">
      <c r="I251" s="11"/>
    </row>
    <row r="252" spans="9:9" ht="12.75">
      <c r="I252" s="11"/>
    </row>
    <row r="253" spans="9:9" ht="12.75">
      <c r="I253" s="11"/>
    </row>
    <row r="254" spans="9:9" ht="12.75">
      <c r="I254" s="11"/>
    </row>
    <row r="255" spans="9:9" ht="12.75">
      <c r="I255" s="11"/>
    </row>
    <row r="256" spans="9:9" ht="12.75">
      <c r="I256" s="11"/>
    </row>
    <row r="257" spans="9:9" ht="12.75">
      <c r="I257" s="11"/>
    </row>
    <row r="258" spans="9:9" ht="12.75">
      <c r="I258" s="11"/>
    </row>
    <row r="259" spans="9:9" ht="12.75">
      <c r="I259" s="11"/>
    </row>
    <row r="260" spans="9:9" ht="12.75">
      <c r="I260" s="11"/>
    </row>
    <row r="261" spans="9:9" ht="12.75">
      <c r="I261" s="11"/>
    </row>
    <row r="262" spans="9:9" ht="12.75">
      <c r="I262" s="11"/>
    </row>
    <row r="263" spans="9:9" ht="12.75">
      <c r="I263" s="11"/>
    </row>
    <row r="264" spans="9:9" ht="12.75">
      <c r="I264" s="11"/>
    </row>
    <row r="265" spans="9:9" ht="12.75">
      <c r="I265" s="11"/>
    </row>
    <row r="266" spans="9:9" ht="12.75">
      <c r="I266" s="11"/>
    </row>
    <row r="267" spans="9:9" ht="12.75">
      <c r="I267" s="11"/>
    </row>
    <row r="268" spans="9:9" ht="12.75">
      <c r="I268" s="11"/>
    </row>
    <row r="269" spans="9:9" ht="12.75">
      <c r="I269" s="11"/>
    </row>
    <row r="270" spans="9:9" ht="12.75">
      <c r="I270" s="11"/>
    </row>
    <row r="271" spans="9:9" ht="12.75">
      <c r="I271" s="11"/>
    </row>
    <row r="272" spans="9:9" ht="12.75">
      <c r="I272" s="11"/>
    </row>
    <row r="273" spans="9:9" ht="12.75">
      <c r="I273" s="11"/>
    </row>
    <row r="274" spans="9:9" ht="12.75">
      <c r="I274" s="11"/>
    </row>
    <row r="275" spans="9:9" ht="12.75">
      <c r="I275" s="11"/>
    </row>
    <row r="276" spans="9:9" ht="12.75">
      <c r="I276" s="11"/>
    </row>
    <row r="277" spans="9:9" ht="12.75">
      <c r="I277" s="11"/>
    </row>
    <row r="278" spans="9:9" ht="12.75">
      <c r="I278" s="11"/>
    </row>
    <row r="279" spans="9:9" ht="12.75">
      <c r="I279" s="11"/>
    </row>
    <row r="280" spans="9:9" ht="12.75">
      <c r="I280" s="11"/>
    </row>
    <row r="281" spans="9:9" ht="12.75">
      <c r="I281" s="11"/>
    </row>
    <row r="282" spans="9:9" ht="12.75">
      <c r="I282" s="11"/>
    </row>
    <row r="283" spans="9:9" ht="12.75">
      <c r="I283" s="11"/>
    </row>
    <row r="284" spans="9:9" ht="12.75">
      <c r="I284" s="11"/>
    </row>
    <row r="285" spans="9:9" ht="12.75">
      <c r="I285" s="11"/>
    </row>
    <row r="286" spans="9:9" ht="12.75">
      <c r="I286" s="11"/>
    </row>
    <row r="287" spans="9:9" ht="12.75">
      <c r="I287" s="11"/>
    </row>
    <row r="288" spans="9:9" ht="12.75">
      <c r="I288" s="11"/>
    </row>
    <row r="289" spans="9:9" ht="12.75">
      <c r="I289" s="11"/>
    </row>
    <row r="290" spans="9:9" ht="12.75">
      <c r="I290" s="11"/>
    </row>
    <row r="291" spans="9:9" ht="12.75">
      <c r="I291" s="11"/>
    </row>
    <row r="292" spans="9:9" ht="12.75">
      <c r="I292" s="11"/>
    </row>
    <row r="293" spans="9:9" ht="12.75">
      <c r="I293" s="11"/>
    </row>
    <row r="294" spans="9:9" ht="12.75">
      <c r="I294" s="11"/>
    </row>
    <row r="295" spans="9:9" ht="12.75">
      <c r="I295" s="11"/>
    </row>
    <row r="296" spans="9:9" ht="12.75">
      <c r="I296" s="11"/>
    </row>
    <row r="297" spans="9:9" ht="12.75">
      <c r="I297" s="11"/>
    </row>
    <row r="298" spans="9:9" ht="12.75">
      <c r="I298" s="11"/>
    </row>
    <row r="299" spans="9:9" ht="12.75">
      <c r="I299" s="11"/>
    </row>
    <row r="300" spans="9:9" ht="12.75">
      <c r="I300" s="11"/>
    </row>
    <row r="301" spans="9:9" ht="12.75">
      <c r="I301" s="11"/>
    </row>
    <row r="302" spans="9:9" ht="12.75">
      <c r="I302" s="11"/>
    </row>
    <row r="303" spans="9:9" ht="12.75">
      <c r="I303" s="11"/>
    </row>
    <row r="304" spans="9:9" ht="12.75">
      <c r="I304" s="11"/>
    </row>
    <row r="305" spans="9:9" ht="12.75">
      <c r="I305" s="11"/>
    </row>
    <row r="306" spans="9:9" ht="12.75">
      <c r="I306" s="11"/>
    </row>
    <row r="307" spans="9:9" ht="12.75">
      <c r="I307" s="11"/>
    </row>
    <row r="308" spans="9:9" ht="12.75">
      <c r="I308" s="11"/>
    </row>
    <row r="309" spans="9:9" ht="12.75">
      <c r="I309" s="11"/>
    </row>
    <row r="310" spans="9:9" ht="12.75">
      <c r="I310" s="11"/>
    </row>
    <row r="311" spans="9:9" ht="12.75">
      <c r="I311" s="11"/>
    </row>
    <row r="312" spans="9:9" ht="12.75">
      <c r="I312" s="11"/>
    </row>
    <row r="313" spans="9:9" ht="12.75">
      <c r="I313" s="11"/>
    </row>
    <row r="314" spans="9:9" ht="12.75">
      <c r="I314" s="11"/>
    </row>
    <row r="315" spans="9:9" ht="12.75">
      <c r="I315" s="11"/>
    </row>
    <row r="316" spans="9:9" ht="12.75">
      <c r="I316" s="11"/>
    </row>
    <row r="317" spans="9:9" ht="12.75">
      <c r="I317" s="11"/>
    </row>
    <row r="318" spans="9:9" ht="12.75">
      <c r="I318" s="11"/>
    </row>
    <row r="319" spans="9:9" ht="12.75">
      <c r="I319" s="11"/>
    </row>
    <row r="320" spans="9:9" ht="12.75">
      <c r="I320" s="11"/>
    </row>
    <row r="321" spans="9:9" ht="12.75">
      <c r="I321" s="11"/>
    </row>
    <row r="322" spans="9:9" ht="12.75">
      <c r="I322" s="11"/>
    </row>
    <row r="323" spans="9:9" ht="12.75">
      <c r="I323" s="11"/>
    </row>
    <row r="324" spans="9:9" ht="12.75">
      <c r="I324" s="11"/>
    </row>
    <row r="325" spans="9:9" ht="12.75">
      <c r="I325" s="11"/>
    </row>
    <row r="326" spans="9:9" ht="12.75">
      <c r="I326" s="11"/>
    </row>
    <row r="327" spans="9:9" ht="12.75">
      <c r="I327" s="11"/>
    </row>
    <row r="328" spans="9:9" ht="12.75">
      <c r="I328" s="11"/>
    </row>
    <row r="329" spans="9:9" ht="12.75">
      <c r="I329" s="11"/>
    </row>
    <row r="330" spans="9:9" ht="12.75">
      <c r="I330" s="11"/>
    </row>
    <row r="331" spans="9:9" ht="12.75">
      <c r="I331" s="11"/>
    </row>
    <row r="332" spans="9:9" ht="12.75">
      <c r="I332" s="11"/>
    </row>
    <row r="333" spans="9:9" ht="12.75">
      <c r="I333" s="11"/>
    </row>
    <row r="334" spans="9:9" ht="12.75">
      <c r="I334" s="11"/>
    </row>
    <row r="335" spans="9:9" ht="12.75">
      <c r="I335" s="11"/>
    </row>
    <row r="336" spans="9:9" ht="12.75">
      <c r="I336" s="11"/>
    </row>
    <row r="337" spans="9:9" ht="12.75">
      <c r="I337" s="11"/>
    </row>
    <row r="338" spans="9:9" ht="12.75">
      <c r="I338" s="11"/>
    </row>
    <row r="339" spans="9:9" ht="12.75">
      <c r="I339" s="11"/>
    </row>
    <row r="340" spans="9:9" ht="12.75">
      <c r="I340" s="11"/>
    </row>
    <row r="341" spans="9:9" ht="12.75">
      <c r="I341" s="11"/>
    </row>
    <row r="342" spans="9:9" ht="12.75">
      <c r="I342" s="11"/>
    </row>
    <row r="343" spans="9:9" ht="12.75">
      <c r="I343" s="11"/>
    </row>
    <row r="344" spans="9:9" ht="12.75">
      <c r="I344" s="11"/>
    </row>
    <row r="345" spans="9:9" ht="12.75">
      <c r="I345" s="11"/>
    </row>
    <row r="346" spans="9:9" ht="12.75">
      <c r="I346" s="11"/>
    </row>
    <row r="347" spans="9:9" ht="12.75">
      <c r="I347" s="11"/>
    </row>
    <row r="348" spans="9:9" ht="12.75">
      <c r="I348" s="11"/>
    </row>
    <row r="349" spans="9:9" ht="12.75">
      <c r="I349" s="11"/>
    </row>
    <row r="350" spans="9:9" ht="12.75">
      <c r="I350" s="11"/>
    </row>
    <row r="351" spans="9:9" ht="12.75">
      <c r="I351" s="11"/>
    </row>
    <row r="352" spans="9:9" ht="12.75">
      <c r="I352" s="11"/>
    </row>
    <row r="353" spans="9:9" ht="12.75">
      <c r="I353" s="11"/>
    </row>
    <row r="354" spans="9:9" ht="12.75">
      <c r="I354" s="11"/>
    </row>
    <row r="355" spans="9:9" ht="12.75">
      <c r="I355" s="11"/>
    </row>
    <row r="356" spans="9:9" ht="12.75">
      <c r="I356" s="11"/>
    </row>
    <row r="357" spans="9:9" ht="12.75">
      <c r="I357" s="11"/>
    </row>
    <row r="358" spans="9:9" ht="12.75">
      <c r="I358" s="11"/>
    </row>
    <row r="359" spans="9:9" ht="12.75">
      <c r="I359" s="11"/>
    </row>
    <row r="360" spans="9:9" ht="12.75">
      <c r="I360" s="11"/>
    </row>
    <row r="361" spans="9:9" ht="12.75">
      <c r="I361" s="11"/>
    </row>
    <row r="362" spans="9:9" ht="12.75">
      <c r="I362" s="11"/>
    </row>
    <row r="363" spans="9:9" ht="12.75">
      <c r="I363" s="11"/>
    </row>
    <row r="364" spans="9:9" ht="12.75">
      <c r="I364" s="11"/>
    </row>
    <row r="365" spans="9:9" ht="12.75">
      <c r="I365" s="11"/>
    </row>
    <row r="366" spans="9:9" ht="12.75">
      <c r="I366" s="11"/>
    </row>
    <row r="367" spans="9:9" ht="12.75">
      <c r="I367" s="11"/>
    </row>
    <row r="368" spans="9:9" ht="12.75">
      <c r="I368" s="11"/>
    </row>
    <row r="369" spans="9:9" ht="12.75">
      <c r="I369" s="11"/>
    </row>
    <row r="370" spans="9:9" ht="12.75">
      <c r="I370" s="11"/>
    </row>
    <row r="371" spans="9:9" ht="12.75">
      <c r="I371" s="11"/>
    </row>
    <row r="372" spans="9:9" ht="12.75">
      <c r="I372" s="11"/>
    </row>
    <row r="373" spans="9:9" ht="12.75">
      <c r="I373" s="11"/>
    </row>
    <row r="374" spans="9:9" ht="12.75">
      <c r="I374" s="11"/>
    </row>
    <row r="375" spans="9:9" ht="12.75">
      <c r="I375" s="11"/>
    </row>
    <row r="376" spans="9:9" ht="12.75">
      <c r="I376" s="11"/>
    </row>
    <row r="377" spans="9:9" ht="12.75">
      <c r="I377" s="11"/>
    </row>
    <row r="378" spans="9:9" ht="12.75">
      <c r="I378" s="11"/>
    </row>
    <row r="379" spans="9:9" ht="12.75">
      <c r="I379" s="11"/>
    </row>
    <row r="380" spans="9:9" ht="12.75">
      <c r="I380" s="11"/>
    </row>
    <row r="381" spans="9:9" ht="12.75">
      <c r="I381" s="11"/>
    </row>
    <row r="382" spans="9:9" ht="12.75">
      <c r="I382" s="11"/>
    </row>
    <row r="383" spans="9:9" ht="12.75">
      <c r="I383" s="11"/>
    </row>
    <row r="384" spans="9:9" ht="12.75">
      <c r="I384" s="11"/>
    </row>
    <row r="385" spans="9:9" ht="12.75">
      <c r="I385" s="11"/>
    </row>
    <row r="386" spans="9:9" ht="12.75">
      <c r="I386" s="11"/>
    </row>
    <row r="387" spans="9:9" ht="12.75">
      <c r="I387" s="11"/>
    </row>
    <row r="388" spans="9:9" ht="12.75">
      <c r="I388" s="11"/>
    </row>
    <row r="389" spans="9:9" ht="12.75">
      <c r="I389" s="11"/>
    </row>
    <row r="390" spans="9:9" ht="12.75">
      <c r="I390" s="11"/>
    </row>
    <row r="391" spans="9:9" ht="12.75">
      <c r="I391" s="11"/>
    </row>
    <row r="392" spans="9:9" ht="12.75">
      <c r="I392" s="11"/>
    </row>
    <row r="393" spans="9:9" ht="12.75">
      <c r="I393" s="11"/>
    </row>
    <row r="394" spans="9:9" ht="12.75">
      <c r="I394" s="11"/>
    </row>
    <row r="395" spans="9:9" ht="12.75">
      <c r="I395" s="11"/>
    </row>
    <row r="396" spans="9:9" ht="12.75">
      <c r="I396" s="11"/>
    </row>
    <row r="397" spans="9:9" ht="12.75">
      <c r="I397" s="11"/>
    </row>
    <row r="398" spans="9:9" ht="12.75">
      <c r="I398" s="11"/>
    </row>
    <row r="399" spans="9:9" ht="12.75">
      <c r="I399" s="11"/>
    </row>
    <row r="400" spans="9:9" ht="12.75">
      <c r="I400" s="11"/>
    </row>
    <row r="401" spans="9:9" ht="12.75">
      <c r="I401" s="11"/>
    </row>
    <row r="402" spans="9:9" ht="12.75">
      <c r="I402" s="11"/>
    </row>
    <row r="403" spans="9:9" ht="12.75">
      <c r="I403" s="11"/>
    </row>
    <row r="404" spans="9:9" ht="12.75">
      <c r="I404" s="11"/>
    </row>
    <row r="405" spans="9:9" ht="12.75">
      <c r="I405" s="11"/>
    </row>
    <row r="406" spans="9:9" ht="12.75">
      <c r="I406" s="11"/>
    </row>
    <row r="407" spans="9:9" ht="12.75">
      <c r="I407" s="11"/>
    </row>
    <row r="408" spans="9:9" ht="12.75">
      <c r="I408" s="11"/>
    </row>
    <row r="409" spans="9:9" ht="12.75">
      <c r="I409" s="11"/>
    </row>
    <row r="410" spans="9:9" ht="12.75">
      <c r="I410" s="11"/>
    </row>
    <row r="411" spans="9:9" ht="12.75">
      <c r="I411" s="11"/>
    </row>
    <row r="412" spans="9:9" ht="12.75">
      <c r="I412" s="11"/>
    </row>
    <row r="413" spans="9:9" ht="12.75">
      <c r="I413" s="11"/>
    </row>
    <row r="414" spans="9:9" ht="12.75">
      <c r="I414" s="11"/>
    </row>
    <row r="415" spans="9:9" ht="12.75">
      <c r="I415" s="11"/>
    </row>
    <row r="416" spans="9:9" ht="12.75">
      <c r="I416" s="11"/>
    </row>
    <row r="417" spans="9:9" ht="12.75">
      <c r="I417" s="11"/>
    </row>
    <row r="418" spans="9:9" ht="12.75">
      <c r="I418" s="11"/>
    </row>
    <row r="419" spans="9:9" ht="12.75">
      <c r="I419" s="11"/>
    </row>
    <row r="420" spans="9:9" ht="12.75">
      <c r="I420" s="11"/>
    </row>
    <row r="421" spans="9:9" ht="12.75">
      <c r="I421" s="11"/>
    </row>
    <row r="422" spans="9:9" ht="12.75">
      <c r="I422" s="11"/>
    </row>
    <row r="423" spans="9:9" ht="12.75">
      <c r="I423" s="11"/>
    </row>
    <row r="424" spans="9:9" ht="12.75">
      <c r="I424" s="11"/>
    </row>
    <row r="425" spans="9:9" ht="12.75">
      <c r="I425" s="11"/>
    </row>
    <row r="426" spans="9:9" ht="12.75">
      <c r="I426" s="11"/>
    </row>
    <row r="427" spans="9:9" ht="12.75">
      <c r="I427" s="11"/>
    </row>
    <row r="428" spans="9:9" ht="12.75">
      <c r="I428" s="11"/>
    </row>
    <row r="429" spans="9:9" ht="12.75">
      <c r="I429" s="11"/>
    </row>
    <row r="430" spans="9:9" ht="12.75">
      <c r="I430" s="11"/>
    </row>
    <row r="431" spans="9:9" ht="12.75">
      <c r="I431" s="11"/>
    </row>
    <row r="432" spans="9:9" ht="12.75">
      <c r="I432" s="11"/>
    </row>
    <row r="433" spans="9:9" ht="12.75">
      <c r="I433" s="11"/>
    </row>
    <row r="434" spans="9:9" ht="12.75">
      <c r="I434" s="11"/>
    </row>
    <row r="435" spans="9:9" ht="12.75">
      <c r="I435" s="11"/>
    </row>
    <row r="436" spans="9:9" ht="12.75">
      <c r="I436" s="11"/>
    </row>
    <row r="437" spans="9:9" ht="12.75">
      <c r="I437" s="11"/>
    </row>
    <row r="438" spans="9:9" ht="12.75">
      <c r="I438" s="11"/>
    </row>
    <row r="439" spans="9:9" ht="12.75">
      <c r="I439" s="11"/>
    </row>
    <row r="440" spans="9:9" ht="12.75">
      <c r="I440" s="11"/>
    </row>
    <row r="441" spans="9:9" ht="12.75">
      <c r="I441" s="11"/>
    </row>
    <row r="442" spans="9:9" ht="12.75">
      <c r="I442" s="11"/>
    </row>
    <row r="443" spans="9:9" ht="12.75">
      <c r="I443" s="11"/>
    </row>
    <row r="444" spans="9:9" ht="12.75">
      <c r="I444" s="11"/>
    </row>
    <row r="445" spans="9:9" ht="12.75">
      <c r="I445" s="11"/>
    </row>
    <row r="446" spans="9:9" ht="12.75">
      <c r="I446" s="11"/>
    </row>
    <row r="447" spans="9:9" ht="12.75">
      <c r="I447" s="11"/>
    </row>
    <row r="448" spans="9:9" ht="12.75">
      <c r="I448" s="11"/>
    </row>
    <row r="449" spans="9:9" ht="12.75">
      <c r="I449" s="11"/>
    </row>
    <row r="450" spans="9:9" ht="12.75">
      <c r="I450" s="11"/>
    </row>
    <row r="451" spans="9:9" ht="12.75">
      <c r="I451" s="11"/>
    </row>
    <row r="452" spans="9:9" ht="12.75">
      <c r="I452" s="11"/>
    </row>
    <row r="453" spans="9:9" ht="12.75">
      <c r="I453" s="11"/>
    </row>
    <row r="454" spans="9:9" ht="12.75">
      <c r="I454" s="11"/>
    </row>
    <row r="455" spans="9:9" ht="12.75">
      <c r="I455" s="11"/>
    </row>
    <row r="456" spans="9:9" ht="12.75">
      <c r="I456" s="11"/>
    </row>
    <row r="457" spans="9:9" ht="12.75">
      <c r="I457" s="11"/>
    </row>
    <row r="458" spans="9:9" ht="12.75">
      <c r="I458" s="11"/>
    </row>
    <row r="459" spans="9:9" ht="12.75">
      <c r="I459" s="11"/>
    </row>
    <row r="460" spans="9:9" ht="12.75">
      <c r="I460" s="11"/>
    </row>
    <row r="461" spans="9:9" ht="12.75">
      <c r="I461" s="11"/>
    </row>
    <row r="462" spans="9:9" ht="12.75">
      <c r="I462" s="11"/>
    </row>
    <row r="463" spans="9:9" ht="12.75">
      <c r="I463" s="11"/>
    </row>
    <row r="464" spans="9:9" ht="12.75">
      <c r="I464" s="11"/>
    </row>
    <row r="465" spans="9:9" ht="12.75">
      <c r="I465" s="11"/>
    </row>
    <row r="466" spans="9:9" ht="12.75">
      <c r="I466" s="11"/>
    </row>
    <row r="467" spans="9:9" ht="12.75">
      <c r="I467" s="11"/>
    </row>
    <row r="468" spans="9:9" ht="12.75">
      <c r="I468" s="11"/>
    </row>
    <row r="469" spans="9:9" ht="12.75">
      <c r="I469" s="11"/>
    </row>
    <row r="470" spans="9:9" ht="12.75">
      <c r="I470" s="11"/>
    </row>
    <row r="471" spans="9:9" ht="12.75">
      <c r="I471" s="11"/>
    </row>
    <row r="472" spans="9:9" ht="12.75">
      <c r="I472" s="11"/>
    </row>
    <row r="473" spans="9:9" ht="12.75">
      <c r="I473" s="11"/>
    </row>
    <row r="474" spans="9:9" ht="12.75">
      <c r="I474" s="11"/>
    </row>
    <row r="475" spans="9:9" ht="12.75">
      <c r="I475" s="11"/>
    </row>
    <row r="476" spans="9:9" ht="12.75">
      <c r="I476" s="11"/>
    </row>
    <row r="477" spans="9:9" ht="12.75">
      <c r="I477" s="11"/>
    </row>
    <row r="478" spans="9:9" ht="12.75">
      <c r="I478" s="11"/>
    </row>
    <row r="479" spans="9:9" ht="12.75">
      <c r="I479" s="11"/>
    </row>
    <row r="480" spans="9:9" ht="12.75">
      <c r="I480" s="11"/>
    </row>
    <row r="481" spans="9:9" ht="12.75">
      <c r="I481" s="11"/>
    </row>
    <row r="482" spans="9:9" ht="12.75">
      <c r="I482" s="11"/>
    </row>
    <row r="483" spans="9:9" ht="12.75">
      <c r="I483" s="11"/>
    </row>
    <row r="484" spans="9:9" ht="12.75">
      <c r="I484" s="11"/>
    </row>
    <row r="485" spans="9:9" ht="12.75">
      <c r="I485" s="11"/>
    </row>
    <row r="486" spans="9:9" ht="12.75">
      <c r="I486" s="11"/>
    </row>
    <row r="487" spans="9:9" ht="12.75">
      <c r="I487" s="11"/>
    </row>
    <row r="488" spans="9:9" ht="12.75">
      <c r="I488" s="11"/>
    </row>
    <row r="489" spans="9:9" ht="12.75">
      <c r="I489" s="11"/>
    </row>
    <row r="490" spans="9:9" ht="12.75">
      <c r="I490" s="11"/>
    </row>
    <row r="491" spans="9:9" ht="12.75">
      <c r="I491" s="11"/>
    </row>
    <row r="492" spans="9:9" ht="12.75">
      <c r="I492" s="11"/>
    </row>
    <row r="493" spans="9:9" ht="12.75">
      <c r="I493" s="11"/>
    </row>
    <row r="494" spans="9:9" ht="12.75">
      <c r="I494" s="11"/>
    </row>
    <row r="495" spans="9:9" ht="12.75">
      <c r="I495" s="11"/>
    </row>
    <row r="496" spans="9:9" ht="12.75">
      <c r="I496" s="11"/>
    </row>
    <row r="497" spans="9:9" ht="12.75">
      <c r="I497" s="11"/>
    </row>
    <row r="498" spans="9:9" ht="12.75">
      <c r="I498" s="11"/>
    </row>
    <row r="499" spans="9:9" ht="12.75">
      <c r="I499" s="11"/>
    </row>
    <row r="500" spans="9:9" ht="12.75">
      <c r="I500" s="11"/>
    </row>
    <row r="501" spans="9:9" ht="12.75">
      <c r="I501" s="11"/>
    </row>
    <row r="502" spans="9:9" ht="12.75">
      <c r="I502" s="11"/>
    </row>
    <row r="503" spans="9:9" ht="12.75">
      <c r="I503" s="11"/>
    </row>
    <row r="504" spans="9:9" ht="12.75">
      <c r="I504" s="11"/>
    </row>
    <row r="505" spans="9:9" ht="12.75">
      <c r="I505" s="11"/>
    </row>
    <row r="506" spans="9:9" ht="12.75">
      <c r="I506" s="11"/>
    </row>
    <row r="507" spans="9:9" ht="12.75">
      <c r="I507" s="11"/>
    </row>
    <row r="508" spans="9:9" ht="12.75">
      <c r="I508" s="11"/>
    </row>
    <row r="509" spans="9:9" ht="12.75">
      <c r="I509" s="11"/>
    </row>
    <row r="510" spans="9:9" ht="12.75">
      <c r="I510" s="11"/>
    </row>
    <row r="511" spans="9:9" ht="12.75">
      <c r="I511" s="11"/>
    </row>
    <row r="512" spans="9:9" ht="12.75">
      <c r="I512" s="11"/>
    </row>
    <row r="513" spans="9:9" ht="12.75">
      <c r="I513" s="11"/>
    </row>
    <row r="514" spans="9:9" ht="12.75">
      <c r="I514" s="11"/>
    </row>
    <row r="515" spans="9:9" ht="12.75">
      <c r="I515" s="11"/>
    </row>
    <row r="516" spans="9:9" ht="12.75">
      <c r="I516" s="11"/>
    </row>
    <row r="517" spans="9:9" ht="12.75">
      <c r="I517" s="11"/>
    </row>
    <row r="518" spans="9:9" ht="12.75">
      <c r="I518" s="11"/>
    </row>
    <row r="519" spans="9:9" ht="12.75">
      <c r="I519" s="11"/>
    </row>
    <row r="520" spans="9:9" ht="12.75">
      <c r="I520" s="11"/>
    </row>
    <row r="521" spans="9:9" ht="12.75">
      <c r="I521" s="11"/>
    </row>
    <row r="522" spans="9:9" ht="12.75">
      <c r="I522" s="11"/>
    </row>
    <row r="523" spans="9:9" ht="12.75">
      <c r="I523" s="11"/>
    </row>
    <row r="524" spans="9:9" ht="12.75">
      <c r="I524" s="11"/>
    </row>
    <row r="525" spans="9:9" ht="12.75">
      <c r="I525" s="11"/>
    </row>
    <row r="526" spans="9:9" ht="12.75">
      <c r="I526" s="11"/>
    </row>
    <row r="527" spans="9:9" ht="12.75">
      <c r="I527" s="11"/>
    </row>
    <row r="528" spans="9:9" ht="12.75">
      <c r="I528" s="11"/>
    </row>
    <row r="529" spans="9:9" ht="12.75">
      <c r="I529" s="11"/>
    </row>
    <row r="530" spans="9:9" ht="12.75">
      <c r="I530" s="11"/>
    </row>
    <row r="531" spans="9:9" ht="12.75">
      <c r="I531" s="11"/>
    </row>
    <row r="532" spans="9:9" ht="12.75">
      <c r="I532" s="11"/>
    </row>
    <row r="533" spans="9:9" ht="12.75">
      <c r="I533" s="11"/>
    </row>
    <row r="534" spans="9:9" ht="12.75">
      <c r="I534" s="11"/>
    </row>
    <row r="535" spans="9:9" ht="12.75">
      <c r="I535" s="11"/>
    </row>
    <row r="536" spans="9:9" ht="12.75">
      <c r="I536" s="11"/>
    </row>
    <row r="537" spans="9:9" ht="12.75">
      <c r="I537" s="11"/>
    </row>
    <row r="538" spans="9:9" ht="12.75">
      <c r="I538" s="11"/>
    </row>
    <row r="539" spans="9:9" ht="12.75">
      <c r="I539" s="11"/>
    </row>
    <row r="540" spans="9:9" ht="12.75">
      <c r="I540" s="11"/>
    </row>
    <row r="541" spans="9:9" ht="12.75">
      <c r="I541" s="11"/>
    </row>
    <row r="542" spans="9:9" ht="12.75">
      <c r="I542" s="11"/>
    </row>
    <row r="543" spans="9:9" ht="12.75">
      <c r="I543" s="11"/>
    </row>
    <row r="544" spans="9:9" ht="12.75">
      <c r="I544" s="11"/>
    </row>
    <row r="545" spans="9:9" ht="12.75">
      <c r="I545" s="11"/>
    </row>
    <row r="546" spans="9:9" ht="12.75">
      <c r="I546" s="11"/>
    </row>
    <row r="547" spans="9:9" ht="12.75">
      <c r="I547" s="11"/>
    </row>
    <row r="548" spans="9:9" ht="12.75">
      <c r="I548" s="11"/>
    </row>
    <row r="549" spans="9:9" ht="12.75">
      <c r="I549" s="11"/>
    </row>
    <row r="550" spans="9:9" ht="12.75">
      <c r="I550" s="11"/>
    </row>
    <row r="551" spans="9:9" ht="12.75">
      <c r="I551" s="11"/>
    </row>
    <row r="552" spans="9:9" ht="12.75">
      <c r="I552" s="11"/>
    </row>
    <row r="553" spans="9:9" ht="12.75">
      <c r="I553" s="11"/>
    </row>
    <row r="554" spans="9:9" ht="12.75">
      <c r="I554" s="11"/>
    </row>
    <row r="555" spans="9:9" ht="12.75">
      <c r="I555" s="11"/>
    </row>
    <row r="556" spans="9:9" ht="12.75">
      <c r="I556" s="11"/>
    </row>
    <row r="557" spans="9:9" ht="12.75">
      <c r="I557" s="11"/>
    </row>
    <row r="558" spans="9:9" ht="12.75">
      <c r="I558" s="11"/>
    </row>
    <row r="559" spans="9:9" ht="12.75">
      <c r="I559" s="11"/>
    </row>
    <row r="560" spans="9:9" ht="12.75">
      <c r="I560" s="11"/>
    </row>
    <row r="561" spans="9:9" ht="12.75">
      <c r="I561" s="11"/>
    </row>
    <row r="562" spans="9:9" ht="12.75">
      <c r="I562" s="11"/>
    </row>
    <row r="563" spans="9:9" ht="12.75">
      <c r="I563" s="11"/>
    </row>
    <row r="564" spans="9:9" ht="12.75">
      <c r="I564" s="11"/>
    </row>
    <row r="565" spans="9:9" ht="12.75">
      <c r="I565" s="11"/>
    </row>
    <row r="566" spans="9:9" ht="12.75">
      <c r="I566" s="11"/>
    </row>
    <row r="567" spans="9:9" ht="12.75">
      <c r="I567" s="11"/>
    </row>
    <row r="568" spans="9:9" ht="12.75">
      <c r="I568" s="11"/>
    </row>
    <row r="569" spans="9:9" ht="12.75">
      <c r="I569" s="11"/>
    </row>
    <row r="570" spans="9:9" ht="12.75">
      <c r="I570" s="11"/>
    </row>
    <row r="571" spans="9:9" ht="12.75">
      <c r="I571" s="11"/>
    </row>
    <row r="572" spans="9:9" ht="12.75">
      <c r="I572" s="11"/>
    </row>
    <row r="573" spans="9:9" ht="12.75">
      <c r="I573" s="11"/>
    </row>
    <row r="574" spans="9:9" ht="12.75">
      <c r="I574" s="11"/>
    </row>
    <row r="575" spans="9:9" ht="12.75">
      <c r="I575" s="11"/>
    </row>
    <row r="576" spans="9:9" ht="12.75">
      <c r="I576" s="11"/>
    </row>
    <row r="577" spans="9:9" ht="12.75">
      <c r="I577" s="11"/>
    </row>
    <row r="578" spans="9:9" ht="12.75">
      <c r="I578" s="11"/>
    </row>
    <row r="579" spans="9:9" ht="12.75">
      <c r="I579" s="11"/>
    </row>
    <row r="580" spans="9:9" ht="12.75">
      <c r="I580" s="11"/>
    </row>
    <row r="581" spans="9:9" ht="12.75">
      <c r="I581" s="11"/>
    </row>
    <row r="582" spans="9:9" ht="12.75">
      <c r="I582" s="11"/>
    </row>
    <row r="583" spans="9:9" ht="12.75">
      <c r="I583" s="11"/>
    </row>
    <row r="584" spans="9:9" ht="12.75">
      <c r="I584" s="11"/>
    </row>
    <row r="585" spans="9:9" ht="12.75">
      <c r="I585" s="11"/>
    </row>
    <row r="586" spans="9:9" ht="12.75">
      <c r="I586" s="11"/>
    </row>
    <row r="587" spans="9:9" ht="12.75">
      <c r="I587" s="11"/>
    </row>
    <row r="588" spans="9:9" ht="12.75">
      <c r="I588" s="11"/>
    </row>
    <row r="589" spans="9:9" ht="12.75">
      <c r="I589" s="11"/>
    </row>
    <row r="590" spans="9:9" ht="12.75">
      <c r="I590" s="11"/>
    </row>
    <row r="591" spans="9:9" ht="12.75">
      <c r="I591" s="11"/>
    </row>
    <row r="592" spans="9:9" ht="12.75">
      <c r="I592" s="11"/>
    </row>
    <row r="593" spans="9:9" ht="12.75">
      <c r="I593" s="11"/>
    </row>
    <row r="594" spans="9:9" ht="12.75">
      <c r="I594" s="11"/>
    </row>
    <row r="595" spans="9:9" ht="12.75">
      <c r="I595" s="11"/>
    </row>
    <row r="596" spans="9:9" ht="12.75">
      <c r="I596" s="11"/>
    </row>
    <row r="597" spans="9:9" ht="12.75">
      <c r="I597" s="11"/>
    </row>
    <row r="598" spans="9:9" ht="12.75">
      <c r="I598" s="11"/>
    </row>
    <row r="599" spans="9:9" ht="12.75">
      <c r="I599" s="11"/>
    </row>
    <row r="600" spans="9:9" ht="12.75">
      <c r="I600" s="11"/>
    </row>
    <row r="601" spans="9:9" ht="12.75">
      <c r="I601" s="11"/>
    </row>
    <row r="602" spans="9:9" ht="12.75">
      <c r="I602" s="11"/>
    </row>
    <row r="603" spans="9:9" ht="12.75">
      <c r="I603" s="11"/>
    </row>
    <row r="604" spans="9:9" ht="12.75">
      <c r="I604" s="11"/>
    </row>
    <row r="605" spans="9:9" ht="12.75">
      <c r="I605" s="11"/>
    </row>
    <row r="606" spans="9:9" ht="12.75">
      <c r="I606" s="11"/>
    </row>
    <row r="607" spans="9:9" ht="12.75">
      <c r="I607" s="11"/>
    </row>
    <row r="608" spans="9:9" ht="12.75">
      <c r="I608" s="11"/>
    </row>
    <row r="609" spans="9:9" ht="12.75">
      <c r="I609" s="11"/>
    </row>
    <row r="610" spans="9:9" ht="12.75">
      <c r="I610" s="11"/>
    </row>
    <row r="611" spans="9:9" ht="12.75">
      <c r="I611" s="11"/>
    </row>
    <row r="612" spans="9:9" ht="12.75">
      <c r="I612" s="11"/>
    </row>
    <row r="613" spans="9:9" ht="12.75">
      <c r="I613" s="11"/>
    </row>
    <row r="614" spans="9:9" ht="12.75">
      <c r="I614" s="11"/>
    </row>
    <row r="615" spans="9:9" ht="12.75">
      <c r="I615" s="11"/>
    </row>
    <row r="616" spans="9:9" ht="12.75">
      <c r="I616" s="11"/>
    </row>
    <row r="617" spans="9:9" ht="12.75">
      <c r="I617" s="11"/>
    </row>
    <row r="618" spans="9:9" ht="12.75">
      <c r="I618" s="11"/>
    </row>
    <row r="619" spans="9:9" ht="12.75">
      <c r="I619" s="11"/>
    </row>
    <row r="620" spans="9:9" ht="12.75">
      <c r="I620" s="11"/>
    </row>
    <row r="621" spans="9:9" ht="12.75">
      <c r="I621" s="11"/>
    </row>
    <row r="622" spans="9:9" ht="12.75">
      <c r="I622" s="11"/>
    </row>
    <row r="623" spans="9:9" ht="12.75">
      <c r="I623" s="11"/>
    </row>
    <row r="624" spans="9:9" ht="12.75">
      <c r="I624" s="11"/>
    </row>
    <row r="625" spans="9:9" ht="12.75">
      <c r="I625" s="11"/>
    </row>
    <row r="626" spans="9:9" ht="12.75">
      <c r="I626" s="11"/>
    </row>
    <row r="627" spans="9:9" ht="12.75">
      <c r="I627" s="11"/>
    </row>
    <row r="628" spans="9:9" ht="12.75">
      <c r="I628" s="11"/>
    </row>
    <row r="629" spans="9:9" ht="12.75">
      <c r="I629" s="11"/>
    </row>
    <row r="630" spans="9:9" ht="12.75">
      <c r="I630" s="11"/>
    </row>
    <row r="631" spans="9:9" ht="12.75">
      <c r="I631" s="11"/>
    </row>
    <row r="632" spans="9:9" ht="12.75">
      <c r="I632" s="11"/>
    </row>
    <row r="633" spans="9:9" ht="12.75">
      <c r="I633" s="11"/>
    </row>
    <row r="634" spans="9:9" ht="12.75">
      <c r="I634" s="11"/>
    </row>
    <row r="635" spans="9:9" ht="12.75">
      <c r="I635" s="11"/>
    </row>
    <row r="636" spans="9:9" ht="12.75">
      <c r="I636" s="11"/>
    </row>
    <row r="637" spans="9:9" ht="12.75">
      <c r="I637" s="11"/>
    </row>
    <row r="638" spans="9:9" ht="12.75">
      <c r="I638" s="11"/>
    </row>
    <row r="639" spans="9:9" ht="12.75">
      <c r="I639" s="11"/>
    </row>
    <row r="640" spans="9:9" ht="12.75">
      <c r="I640" s="11"/>
    </row>
    <row r="641" spans="9:9" ht="12.75">
      <c r="I641" s="11"/>
    </row>
    <row r="642" spans="9:9" ht="12.75">
      <c r="I642" s="11"/>
    </row>
    <row r="643" spans="9:9" ht="12.75">
      <c r="I643" s="11"/>
    </row>
    <row r="644" spans="9:9" ht="12.75">
      <c r="I644" s="11"/>
    </row>
    <row r="645" spans="9:9" ht="12.75">
      <c r="I645" s="11"/>
    </row>
    <row r="646" spans="9:9" ht="12.75">
      <c r="I646" s="11"/>
    </row>
    <row r="647" spans="9:9" ht="12.75">
      <c r="I647" s="11"/>
    </row>
    <row r="648" spans="9:9" ht="12.75">
      <c r="I648" s="11"/>
    </row>
    <row r="649" spans="9:9" ht="12.75">
      <c r="I649" s="11"/>
    </row>
    <row r="650" spans="9:9" ht="12.75">
      <c r="I650" s="11"/>
    </row>
    <row r="651" spans="9:9" ht="12.75">
      <c r="I651" s="11"/>
    </row>
    <row r="652" spans="9:9" ht="12.75">
      <c r="I652" s="11"/>
    </row>
    <row r="653" spans="9:9" ht="12.75">
      <c r="I653" s="11"/>
    </row>
    <row r="654" spans="9:9" ht="12.75">
      <c r="I654" s="11"/>
    </row>
    <row r="655" spans="9:9" ht="12.75">
      <c r="I655" s="11"/>
    </row>
    <row r="656" spans="9:9" ht="12.75">
      <c r="I656" s="11"/>
    </row>
    <row r="657" spans="9:9" ht="12.75">
      <c r="I657" s="11"/>
    </row>
    <row r="658" spans="9:9" ht="12.75">
      <c r="I658" s="11"/>
    </row>
    <row r="659" spans="9:9" ht="12.75">
      <c r="I659" s="11"/>
    </row>
    <row r="660" spans="9:9" ht="12.75">
      <c r="I660" s="11"/>
    </row>
    <row r="661" spans="9:9" ht="12.75">
      <c r="I661" s="11"/>
    </row>
    <row r="662" spans="9:9" ht="12.75">
      <c r="I662" s="11"/>
    </row>
    <row r="663" spans="9:9" ht="12.75">
      <c r="I663" s="11"/>
    </row>
    <row r="664" spans="9:9" ht="12.75">
      <c r="I664" s="11"/>
    </row>
    <row r="665" spans="9:9" ht="12.75">
      <c r="I665" s="11"/>
    </row>
    <row r="666" spans="9:9" ht="12.75">
      <c r="I666" s="11"/>
    </row>
    <row r="667" spans="9:9" ht="12.75">
      <c r="I667" s="11"/>
    </row>
    <row r="668" spans="9:9" ht="12.75">
      <c r="I668" s="11"/>
    </row>
    <row r="669" spans="9:9" ht="12.75">
      <c r="I669" s="11"/>
    </row>
    <row r="670" spans="9:9" ht="12.75">
      <c r="I670" s="11"/>
    </row>
    <row r="671" spans="9:9" ht="12.75">
      <c r="I671" s="11"/>
    </row>
    <row r="672" spans="9:9" ht="12.75">
      <c r="I672" s="11"/>
    </row>
    <row r="673" spans="9:9" ht="12.75">
      <c r="I673" s="11"/>
    </row>
    <row r="674" spans="9:9" ht="12.75">
      <c r="I674" s="11"/>
    </row>
    <row r="675" spans="9:9" ht="12.75">
      <c r="I675" s="11"/>
    </row>
    <row r="676" spans="9:9" ht="12.75">
      <c r="I676" s="11"/>
    </row>
    <row r="677" spans="9:9" ht="12.75">
      <c r="I677" s="11"/>
    </row>
    <row r="678" spans="9:9" ht="12.75">
      <c r="I678" s="11"/>
    </row>
    <row r="679" spans="9:9" ht="12.75">
      <c r="I679" s="11"/>
    </row>
    <row r="680" spans="9:9" ht="12.75">
      <c r="I680" s="11"/>
    </row>
    <row r="681" spans="9:9" ht="12.75">
      <c r="I681" s="11"/>
    </row>
    <row r="682" spans="9:9" ht="12.75">
      <c r="I682" s="11"/>
    </row>
    <row r="683" spans="9:9" ht="12.75">
      <c r="I683" s="11"/>
    </row>
    <row r="684" spans="9:9" ht="12.75">
      <c r="I684" s="11"/>
    </row>
    <row r="685" spans="9:9" ht="12.75">
      <c r="I685" s="11"/>
    </row>
    <row r="686" spans="9:9" ht="12.75">
      <c r="I686" s="11"/>
    </row>
    <row r="687" spans="9:9" ht="12.75">
      <c r="I687" s="11"/>
    </row>
    <row r="688" spans="9:9" ht="12.75">
      <c r="I688" s="11"/>
    </row>
    <row r="689" spans="9:9" ht="12.75">
      <c r="I689" s="11"/>
    </row>
    <row r="690" spans="9:9" ht="12.75">
      <c r="I690" s="11"/>
    </row>
    <row r="691" spans="9:9" ht="12.75">
      <c r="I691" s="11"/>
    </row>
    <row r="692" spans="9:9" ht="12.75">
      <c r="I692" s="11"/>
    </row>
    <row r="693" spans="9:9" ht="12.75">
      <c r="I693" s="11"/>
    </row>
    <row r="694" spans="9:9" ht="12.75">
      <c r="I694" s="11"/>
    </row>
    <row r="695" spans="9:9" ht="12.75">
      <c r="I695" s="11"/>
    </row>
    <row r="696" spans="9:9" ht="12.75">
      <c r="I696" s="11"/>
    </row>
    <row r="697" spans="9:9" ht="12.75">
      <c r="I697" s="11"/>
    </row>
    <row r="698" spans="9:9" ht="12.75">
      <c r="I698" s="11"/>
    </row>
    <row r="699" spans="9:9" ht="12.75">
      <c r="I699" s="11"/>
    </row>
    <row r="700" spans="9:9" ht="12.75">
      <c r="I700" s="11"/>
    </row>
    <row r="701" spans="9:9" ht="12.75">
      <c r="I701" s="11"/>
    </row>
    <row r="702" spans="9:9" ht="12.75">
      <c r="I702" s="11"/>
    </row>
    <row r="703" spans="9:9" ht="12.75">
      <c r="I703" s="11"/>
    </row>
    <row r="704" spans="9:9" ht="12.75">
      <c r="I704" s="11"/>
    </row>
    <row r="705" spans="9:9" ht="12.75">
      <c r="I705" s="11"/>
    </row>
    <row r="706" spans="9:9" ht="12.75">
      <c r="I706" s="11"/>
    </row>
    <row r="707" spans="9:9" ht="12.75">
      <c r="I707" s="11"/>
    </row>
    <row r="708" spans="9:9" ht="12.75">
      <c r="I708" s="11"/>
    </row>
    <row r="709" spans="9:9" ht="12.75">
      <c r="I709" s="11"/>
    </row>
    <row r="710" spans="9:9" ht="12.75">
      <c r="I710" s="11"/>
    </row>
    <row r="711" spans="9:9" ht="12.75">
      <c r="I711" s="11"/>
    </row>
    <row r="712" spans="9:9" ht="12.75">
      <c r="I712" s="11"/>
    </row>
    <row r="713" spans="9:9" ht="12.75">
      <c r="I713" s="11"/>
    </row>
    <row r="714" spans="9:9" ht="12.75">
      <c r="I714" s="11"/>
    </row>
    <row r="715" spans="9:9" ht="12.75">
      <c r="I715" s="11"/>
    </row>
    <row r="716" spans="9:9" ht="12.75">
      <c r="I716" s="11"/>
    </row>
    <row r="717" spans="9:9" ht="12.75">
      <c r="I717" s="11"/>
    </row>
    <row r="718" spans="9:9" ht="12.75">
      <c r="I718" s="11"/>
    </row>
    <row r="719" spans="9:9" ht="12.75">
      <c r="I719" s="11"/>
    </row>
    <row r="720" spans="9:9" ht="12.75">
      <c r="I720" s="11"/>
    </row>
    <row r="721" spans="9:9" ht="12.75">
      <c r="I721" s="11"/>
    </row>
    <row r="722" spans="9:9" ht="12.75">
      <c r="I722" s="11"/>
    </row>
    <row r="723" spans="9:9" ht="12.75">
      <c r="I723" s="11"/>
    </row>
    <row r="724" spans="9:9" ht="12.75">
      <c r="I724" s="11"/>
    </row>
    <row r="725" spans="9:9" ht="12.75">
      <c r="I725" s="11"/>
    </row>
    <row r="726" spans="9:9" ht="12.75">
      <c r="I726" s="11"/>
    </row>
    <row r="727" spans="9:9" ht="12.75">
      <c r="I727" s="11"/>
    </row>
    <row r="728" spans="9:9" ht="12.75">
      <c r="I728" s="11"/>
    </row>
    <row r="729" spans="9:9" ht="12.75">
      <c r="I729" s="11"/>
    </row>
    <row r="730" spans="9:9" ht="12.75">
      <c r="I730" s="11"/>
    </row>
    <row r="731" spans="9:9" ht="12.75">
      <c r="I731" s="11"/>
    </row>
    <row r="732" spans="9:9" ht="12.75">
      <c r="I732" s="11"/>
    </row>
    <row r="733" spans="9:9" ht="12.75">
      <c r="I733" s="11"/>
    </row>
    <row r="734" spans="9:9" ht="12.75">
      <c r="I734" s="11"/>
    </row>
    <row r="735" spans="9:9" ht="12.75">
      <c r="I735" s="11"/>
    </row>
    <row r="736" spans="9:9" ht="12.75">
      <c r="I736" s="11"/>
    </row>
    <row r="737" spans="9:9" ht="12.75">
      <c r="I737" s="11"/>
    </row>
    <row r="738" spans="9:9" ht="12.75">
      <c r="I738" s="11"/>
    </row>
    <row r="739" spans="9:9" ht="12.75">
      <c r="I739" s="11"/>
    </row>
    <row r="740" spans="9:9" ht="12.75">
      <c r="I740" s="11"/>
    </row>
    <row r="741" spans="9:9" ht="12.75">
      <c r="I741" s="11"/>
    </row>
    <row r="742" spans="9:9" ht="12.75">
      <c r="I742" s="11"/>
    </row>
    <row r="743" spans="9:9" ht="12.75">
      <c r="I743" s="11"/>
    </row>
    <row r="744" spans="9:9" ht="12.75">
      <c r="I744" s="11"/>
    </row>
    <row r="745" spans="9:9" ht="12.75">
      <c r="I745" s="11"/>
    </row>
    <row r="746" spans="9:9" ht="12.75">
      <c r="I746" s="11"/>
    </row>
    <row r="747" spans="9:9" ht="12.75">
      <c r="I747" s="11"/>
    </row>
    <row r="748" spans="9:9" ht="12.75">
      <c r="I748" s="11"/>
    </row>
    <row r="749" spans="9:9" ht="12.75">
      <c r="I749" s="11"/>
    </row>
    <row r="750" spans="9:9" ht="12.75">
      <c r="I750" s="11"/>
    </row>
    <row r="751" spans="9:9" ht="12.75">
      <c r="I751" s="11"/>
    </row>
    <row r="752" spans="9:9" ht="12.75">
      <c r="I752" s="11"/>
    </row>
    <row r="753" spans="9:9" ht="12.75">
      <c r="I753" s="11"/>
    </row>
    <row r="754" spans="9:9" ht="12.75">
      <c r="I754" s="11"/>
    </row>
    <row r="755" spans="9:9" ht="12.75">
      <c r="I755" s="11"/>
    </row>
    <row r="756" spans="9:9" ht="12.75">
      <c r="I756" s="11"/>
    </row>
    <row r="757" spans="9:9" ht="12.75">
      <c r="I757" s="11"/>
    </row>
    <row r="758" spans="9:9" ht="12.75">
      <c r="I758" s="11"/>
    </row>
    <row r="759" spans="9:9" ht="12.75">
      <c r="I759" s="11"/>
    </row>
    <row r="760" spans="9:9" ht="12.75">
      <c r="I760" s="11"/>
    </row>
    <row r="761" spans="9:9" ht="12.75">
      <c r="I761" s="11"/>
    </row>
    <row r="762" spans="9:9" ht="12.75">
      <c r="I762" s="11"/>
    </row>
    <row r="763" spans="9:9" ht="12.75">
      <c r="I763" s="11"/>
    </row>
    <row r="764" spans="9:9" ht="12.75">
      <c r="I764" s="11"/>
    </row>
    <row r="765" spans="9:9" ht="12.75">
      <c r="I765" s="11"/>
    </row>
    <row r="766" spans="9:9" ht="12.75">
      <c r="I766" s="11"/>
    </row>
    <row r="767" spans="9:9" ht="12.75">
      <c r="I767" s="11"/>
    </row>
    <row r="768" spans="9:9" ht="12.75">
      <c r="I768" s="11"/>
    </row>
    <row r="769" spans="9:9" ht="12.75">
      <c r="I769" s="11"/>
    </row>
    <row r="770" spans="9:9" ht="12.75">
      <c r="I770" s="11"/>
    </row>
    <row r="771" spans="9:9" ht="12.75">
      <c r="I771" s="11"/>
    </row>
    <row r="772" spans="9:9" ht="12.75">
      <c r="I772" s="11"/>
    </row>
    <row r="773" spans="9:9" ht="12.75">
      <c r="I773" s="11"/>
    </row>
    <row r="774" spans="9:9" ht="12.75">
      <c r="I774" s="11"/>
    </row>
    <row r="775" spans="9:9" ht="12.75">
      <c r="I775" s="11"/>
    </row>
    <row r="776" spans="9:9" ht="12.75">
      <c r="I776" s="11"/>
    </row>
    <row r="777" spans="9:9" ht="12.75">
      <c r="I777" s="11"/>
    </row>
    <row r="778" spans="9:9" ht="12.75">
      <c r="I778" s="11"/>
    </row>
    <row r="779" spans="9:9" ht="12.75">
      <c r="I779" s="11"/>
    </row>
    <row r="780" spans="9:9" ht="12.75">
      <c r="I780" s="11"/>
    </row>
    <row r="781" spans="9:9" ht="12.75">
      <c r="I781" s="11"/>
    </row>
    <row r="782" spans="9:9" ht="12.75">
      <c r="I782" s="11"/>
    </row>
    <row r="783" spans="9:9" ht="12.75">
      <c r="I783" s="11"/>
    </row>
    <row r="784" spans="9:9" ht="12.75">
      <c r="I784" s="11"/>
    </row>
    <row r="785" spans="9:9" ht="12.75">
      <c r="I785" s="11"/>
    </row>
    <row r="786" spans="9:9" ht="12.75">
      <c r="I786" s="11"/>
    </row>
    <row r="787" spans="9:9" ht="12.75">
      <c r="I787" s="11"/>
    </row>
    <row r="788" spans="9:9" ht="12.75">
      <c r="I788" s="11"/>
    </row>
    <row r="789" spans="9:9" ht="12.75">
      <c r="I789" s="11"/>
    </row>
    <row r="790" spans="9:9" ht="12.75">
      <c r="I790" s="11"/>
    </row>
    <row r="791" spans="9:9" ht="12.75">
      <c r="I791" s="11"/>
    </row>
    <row r="792" spans="9:9" ht="12.75">
      <c r="I792" s="11"/>
    </row>
    <row r="793" spans="9:9" ht="12.75">
      <c r="I793" s="11"/>
    </row>
    <row r="794" spans="9:9" ht="12.75">
      <c r="I794" s="11"/>
    </row>
    <row r="795" spans="9:9" ht="12.75">
      <c r="I795" s="11"/>
    </row>
    <row r="796" spans="9:9" ht="12.75">
      <c r="I796" s="11"/>
    </row>
    <row r="797" spans="9:9" ht="12.75">
      <c r="I797" s="11"/>
    </row>
    <row r="798" spans="9:9" ht="12.75">
      <c r="I798" s="11"/>
    </row>
    <row r="799" spans="9:9" ht="12.75">
      <c r="I799" s="11"/>
    </row>
    <row r="800" spans="9:9" ht="12.75">
      <c r="I800" s="11"/>
    </row>
    <row r="801" spans="9:9" ht="12.75">
      <c r="I801" s="11"/>
    </row>
    <row r="802" spans="9:9" ht="12.75">
      <c r="I802" s="11"/>
    </row>
    <row r="803" spans="9:9" ht="12.75">
      <c r="I803" s="11"/>
    </row>
    <row r="804" spans="9:9" ht="12.75">
      <c r="I804" s="11"/>
    </row>
    <row r="805" spans="9:9" ht="12.75">
      <c r="I805" s="11"/>
    </row>
    <row r="806" spans="9:9" ht="12.75">
      <c r="I806" s="11"/>
    </row>
    <row r="807" spans="9:9" ht="12.75">
      <c r="I807" s="11"/>
    </row>
    <row r="808" spans="9:9" ht="12.75">
      <c r="I808" s="11"/>
    </row>
    <row r="809" spans="9:9" ht="12.75">
      <c r="I809" s="11"/>
    </row>
    <row r="810" spans="9:9" ht="12.75">
      <c r="I810" s="11"/>
    </row>
    <row r="811" spans="9:9" ht="12.75">
      <c r="I811" s="11"/>
    </row>
    <row r="812" spans="9:9" ht="12.75">
      <c r="I812" s="11"/>
    </row>
    <row r="813" spans="9:9" ht="12.75">
      <c r="I813" s="11"/>
    </row>
    <row r="814" spans="9:9" ht="12.75">
      <c r="I814" s="11"/>
    </row>
    <row r="815" spans="9:9" ht="12.75">
      <c r="I815" s="11"/>
    </row>
    <row r="816" spans="9:9" ht="12.75">
      <c r="I816" s="11"/>
    </row>
    <row r="817" spans="9:9" ht="12.75">
      <c r="I817" s="11"/>
    </row>
    <row r="818" spans="9:9" ht="12.75">
      <c r="I818" s="11"/>
    </row>
    <row r="819" spans="9:9" ht="12.75">
      <c r="I819" s="11"/>
    </row>
    <row r="820" spans="9:9" ht="12.75">
      <c r="I820" s="11"/>
    </row>
    <row r="821" spans="9:9" ht="12.75">
      <c r="I821" s="11"/>
    </row>
    <row r="822" spans="9:9" ht="12.75">
      <c r="I822" s="11"/>
    </row>
    <row r="823" spans="9:9" ht="12.75">
      <c r="I823" s="11"/>
    </row>
    <row r="824" spans="9:9" ht="12.75">
      <c r="I824" s="11"/>
    </row>
    <row r="825" spans="9:9" ht="12.75">
      <c r="I825" s="11"/>
    </row>
    <row r="826" spans="9:9" ht="12.75">
      <c r="I826" s="11"/>
    </row>
    <row r="827" spans="9:9" ht="12.75">
      <c r="I827" s="11"/>
    </row>
    <row r="828" spans="9:9" ht="12.75">
      <c r="I828" s="11"/>
    </row>
    <row r="829" spans="9:9" ht="12.75">
      <c r="I829" s="11"/>
    </row>
    <row r="830" spans="9:9" ht="12.75">
      <c r="I830" s="11"/>
    </row>
    <row r="831" spans="9:9" ht="12.75">
      <c r="I831" s="11"/>
    </row>
    <row r="832" spans="9:9" ht="12.75">
      <c r="I832" s="11"/>
    </row>
    <row r="833" spans="9:9" ht="12.75">
      <c r="I833" s="11"/>
    </row>
    <row r="834" spans="9:9" ht="12.75">
      <c r="I834" s="11"/>
    </row>
    <row r="835" spans="9:9" ht="12.75">
      <c r="I835" s="11"/>
    </row>
    <row r="836" spans="9:9" ht="12.75">
      <c r="I836" s="11"/>
    </row>
    <row r="837" spans="9:9" ht="12.75">
      <c r="I837" s="11"/>
    </row>
    <row r="838" spans="9:9" ht="12.75">
      <c r="I838" s="11"/>
    </row>
    <row r="839" spans="9:9" ht="12.75">
      <c r="I839" s="11"/>
    </row>
    <row r="840" spans="9:9" ht="12.75">
      <c r="I840" s="11"/>
    </row>
    <row r="841" spans="9:9" ht="12.75">
      <c r="I841" s="11"/>
    </row>
    <row r="842" spans="9:9" ht="12.75">
      <c r="I842" s="11"/>
    </row>
    <row r="843" spans="9:9" ht="12.75">
      <c r="I843" s="11"/>
    </row>
    <row r="844" spans="9:9" ht="12.75">
      <c r="I844" s="11"/>
    </row>
    <row r="845" spans="9:9" ht="12.75">
      <c r="I845" s="11"/>
    </row>
    <row r="846" spans="9:9" ht="12.75">
      <c r="I846" s="11"/>
    </row>
    <row r="847" spans="9:9" ht="12.75">
      <c r="I847" s="11"/>
    </row>
    <row r="848" spans="9:9" ht="12.75">
      <c r="I848" s="11"/>
    </row>
    <row r="849" spans="9:9" ht="12.75">
      <c r="I849" s="11"/>
    </row>
    <row r="850" spans="9:9" ht="12.75">
      <c r="I850" s="11"/>
    </row>
    <row r="851" spans="9:9" ht="12.75">
      <c r="I851" s="11"/>
    </row>
    <row r="852" spans="9:9" ht="12.75">
      <c r="I852" s="11"/>
    </row>
    <row r="853" spans="9:9" ht="12.75">
      <c r="I853" s="11"/>
    </row>
    <row r="854" spans="9:9" ht="12.75">
      <c r="I854" s="11"/>
    </row>
    <row r="855" spans="9:9" ht="12.75">
      <c r="I855" s="11"/>
    </row>
    <row r="856" spans="9:9" ht="12.75">
      <c r="I856" s="11"/>
    </row>
    <row r="857" spans="9:9" ht="12.75">
      <c r="I857" s="11"/>
    </row>
    <row r="858" spans="9:9" ht="12.75">
      <c r="I858" s="11"/>
    </row>
    <row r="859" spans="9:9" ht="12.75">
      <c r="I859" s="11"/>
    </row>
    <row r="860" spans="9:9" ht="12.75">
      <c r="I860" s="11"/>
    </row>
    <row r="861" spans="9:9" ht="12.75">
      <c r="I861" s="11"/>
    </row>
    <row r="862" spans="9:9" ht="12.75">
      <c r="I862" s="11"/>
    </row>
    <row r="863" spans="9:9" ht="12.75">
      <c r="I863" s="11"/>
    </row>
    <row r="864" spans="9:9" ht="12.75">
      <c r="I864" s="11"/>
    </row>
    <row r="865" spans="9:9" ht="12.75">
      <c r="I865" s="11"/>
    </row>
    <row r="866" spans="9:9" ht="12.75">
      <c r="I866" s="11"/>
    </row>
    <row r="867" spans="9:9" ht="12.75">
      <c r="I867" s="11"/>
    </row>
    <row r="868" spans="9:9" ht="12.75">
      <c r="I868" s="11"/>
    </row>
    <row r="869" spans="9:9" ht="12.75">
      <c r="I869" s="11"/>
    </row>
    <row r="870" spans="9:9" ht="12.75">
      <c r="I870" s="11"/>
    </row>
    <row r="871" spans="9:9" ht="12.75">
      <c r="I871" s="11"/>
    </row>
    <row r="872" spans="9:9" ht="12.75">
      <c r="I872" s="11"/>
    </row>
    <row r="873" spans="9:9" ht="12.75">
      <c r="I873" s="11"/>
    </row>
    <row r="874" spans="9:9" ht="12.75">
      <c r="I874" s="11"/>
    </row>
    <row r="875" spans="9:9" ht="12.75">
      <c r="I875" s="11"/>
    </row>
    <row r="876" spans="9:9" ht="12.75">
      <c r="I876" s="11"/>
    </row>
    <row r="877" spans="9:9" ht="12.75">
      <c r="I877" s="11"/>
    </row>
    <row r="878" spans="9:9" ht="12.75">
      <c r="I878" s="11"/>
    </row>
    <row r="879" spans="9:9" ht="12.75">
      <c r="I879" s="11"/>
    </row>
    <row r="880" spans="9:9" ht="12.75">
      <c r="I880" s="11"/>
    </row>
    <row r="881" spans="9:9" ht="12.75">
      <c r="I881" s="11"/>
    </row>
    <row r="882" spans="9:9" ht="12.75">
      <c r="I882" s="11"/>
    </row>
    <row r="883" spans="9:9" ht="12.75">
      <c r="I883" s="11"/>
    </row>
    <row r="884" spans="9:9" ht="12.75">
      <c r="I884" s="11"/>
    </row>
    <row r="885" spans="9:9" ht="12.75">
      <c r="I885" s="11"/>
    </row>
    <row r="886" spans="9:9" ht="12.75">
      <c r="I886" s="11"/>
    </row>
    <row r="887" spans="9:9" ht="12.75">
      <c r="I887" s="11"/>
    </row>
    <row r="888" spans="9:9" ht="12.75">
      <c r="I888" s="11"/>
    </row>
    <row r="889" spans="9:9" ht="12.75">
      <c r="I889" s="11"/>
    </row>
    <row r="890" spans="9:9" ht="12.75">
      <c r="I890" s="11"/>
    </row>
    <row r="891" spans="9:9" ht="12.75">
      <c r="I891" s="11"/>
    </row>
    <row r="892" spans="9:9" ht="12.75">
      <c r="I892" s="11"/>
    </row>
    <row r="893" spans="9:9" ht="12.75">
      <c r="I893" s="11"/>
    </row>
    <row r="894" spans="9:9" ht="12.75">
      <c r="I894" s="11"/>
    </row>
    <row r="895" spans="9:9" ht="12.75">
      <c r="I895" s="11"/>
    </row>
    <row r="896" spans="9:9" ht="12.75">
      <c r="I896" s="11"/>
    </row>
    <row r="897" spans="9:9" ht="12.75">
      <c r="I897" s="11"/>
    </row>
    <row r="898" spans="9:9" ht="12.75">
      <c r="I898" s="11"/>
    </row>
    <row r="899" spans="9:9" ht="12.75">
      <c r="I899" s="11"/>
    </row>
    <row r="900" spans="9:9" ht="12.75">
      <c r="I900" s="11"/>
    </row>
    <row r="901" spans="9:9" ht="12.75">
      <c r="I901" s="11"/>
    </row>
    <row r="902" spans="9:9" ht="12.75">
      <c r="I902" s="11"/>
    </row>
    <row r="903" spans="9:9" ht="12.75">
      <c r="I903" s="11"/>
    </row>
    <row r="904" spans="9:9" ht="12.75">
      <c r="I904" s="11"/>
    </row>
    <row r="905" spans="9:9" ht="12.75">
      <c r="I905" s="11"/>
    </row>
    <row r="906" spans="9:9" ht="12.75">
      <c r="I906" s="11"/>
    </row>
    <row r="907" spans="9:9" ht="12.75">
      <c r="I907" s="11"/>
    </row>
    <row r="908" spans="9:9" ht="12.75">
      <c r="I908" s="11"/>
    </row>
    <row r="909" spans="9:9" ht="12.75">
      <c r="I909" s="11"/>
    </row>
    <row r="910" spans="9:9" ht="12.75">
      <c r="I910" s="11"/>
    </row>
    <row r="911" spans="9:9" ht="12.75">
      <c r="I911" s="11"/>
    </row>
    <row r="912" spans="9:9" ht="12.75">
      <c r="I912" s="11"/>
    </row>
    <row r="913" spans="9:9" ht="12.75">
      <c r="I913" s="11"/>
    </row>
    <row r="914" spans="9:9" ht="12.75">
      <c r="I914" s="11"/>
    </row>
    <row r="915" spans="9:9" ht="12.75">
      <c r="I915" s="11"/>
    </row>
    <row r="916" spans="9:9" ht="12.75">
      <c r="I916" s="11"/>
    </row>
    <row r="917" spans="9:9" ht="12.75">
      <c r="I917" s="11"/>
    </row>
    <row r="918" spans="9:9" ht="12.75">
      <c r="I918" s="11"/>
    </row>
    <row r="919" spans="9:9" ht="12.75">
      <c r="I919" s="11"/>
    </row>
    <row r="920" spans="9:9" ht="12.75">
      <c r="I920" s="11"/>
    </row>
    <row r="921" spans="9:9" ht="12.75">
      <c r="I921" s="11"/>
    </row>
    <row r="922" spans="9:9" ht="12.75">
      <c r="I922" s="11"/>
    </row>
    <row r="923" spans="9:9" ht="12.75">
      <c r="I923" s="11"/>
    </row>
    <row r="924" spans="9:9" ht="12.75">
      <c r="I924" s="11"/>
    </row>
    <row r="925" spans="9:9" ht="12.75">
      <c r="I925" s="11"/>
    </row>
    <row r="926" spans="9:9" ht="12.75">
      <c r="I926" s="11"/>
    </row>
    <row r="927" spans="9:9" ht="12.75">
      <c r="I927" s="11"/>
    </row>
    <row r="928" spans="9:9" ht="12.75">
      <c r="I928" s="11"/>
    </row>
    <row r="929" spans="9:9" ht="12.75">
      <c r="I929" s="11"/>
    </row>
    <row r="930" spans="9:9" ht="12.75">
      <c r="I930" s="11"/>
    </row>
    <row r="931" spans="9:9" ht="12.75">
      <c r="I931" s="11"/>
    </row>
    <row r="932" spans="9:9" ht="12.75">
      <c r="I932" s="11"/>
    </row>
    <row r="933" spans="9:9" ht="12.75">
      <c r="I933" s="11"/>
    </row>
    <row r="934" spans="9:9" ht="12.75">
      <c r="I934" s="11"/>
    </row>
    <row r="935" spans="9:9" ht="12.75">
      <c r="I935" s="11"/>
    </row>
    <row r="936" spans="9:9" ht="12.75">
      <c r="I936" s="11"/>
    </row>
    <row r="937" spans="9:9" ht="12.75">
      <c r="I937" s="11"/>
    </row>
    <row r="938" spans="9:9" ht="12.75">
      <c r="I938" s="11"/>
    </row>
    <row r="939" spans="9:9" ht="12.75">
      <c r="I939" s="11"/>
    </row>
    <row r="940" spans="9:9" ht="12.75">
      <c r="I940" s="11"/>
    </row>
    <row r="941" spans="9:9" ht="12.75">
      <c r="I941" s="11"/>
    </row>
    <row r="942" spans="9:9" ht="12.75">
      <c r="I942" s="11"/>
    </row>
    <row r="943" spans="9:9" ht="12.75">
      <c r="I943" s="11"/>
    </row>
    <row r="944" spans="9:9" ht="12.75">
      <c r="I944" s="11"/>
    </row>
    <row r="945" spans="9:9" ht="12.75">
      <c r="I945" s="11"/>
    </row>
    <row r="946" spans="9:9" ht="12.75">
      <c r="I946" s="11"/>
    </row>
    <row r="947" spans="9:9" ht="12.75">
      <c r="I947" s="11"/>
    </row>
    <row r="948" spans="9:9" ht="12.75">
      <c r="I948" s="11"/>
    </row>
    <row r="949" spans="9:9" ht="12.75">
      <c r="I949" s="11"/>
    </row>
    <row r="950" spans="9:9" ht="12.75">
      <c r="I950" s="11"/>
    </row>
    <row r="951" spans="9:9" ht="12.75">
      <c r="I951" s="11"/>
    </row>
    <row r="952" spans="9:9" ht="12.75">
      <c r="I952" s="11"/>
    </row>
    <row r="953" spans="9:9" ht="12.75">
      <c r="I953" s="11"/>
    </row>
    <row r="954" spans="9:9" ht="12.75">
      <c r="I954" s="11"/>
    </row>
    <row r="955" spans="9:9" ht="12.75">
      <c r="I955" s="11"/>
    </row>
    <row r="956" spans="9:9" ht="12.75">
      <c r="I956" s="11"/>
    </row>
    <row r="957" spans="9:9" ht="12.75">
      <c r="I957" s="11"/>
    </row>
    <row r="958" spans="9:9" ht="12.75">
      <c r="I958" s="11"/>
    </row>
    <row r="959" spans="9:9" ht="12.75">
      <c r="I959" s="11"/>
    </row>
    <row r="960" spans="9:9" ht="12.75">
      <c r="I960" s="11"/>
    </row>
    <row r="961" spans="9:9" ht="12.75">
      <c r="I961" s="11"/>
    </row>
    <row r="962" spans="9:9" ht="12.75">
      <c r="I962" s="11"/>
    </row>
    <row r="963" spans="9:9" ht="12.75">
      <c r="I963" s="11"/>
    </row>
    <row r="964" spans="9:9" ht="12.75">
      <c r="I964" s="11"/>
    </row>
    <row r="965" spans="9:9" ht="12.75">
      <c r="I965" s="11"/>
    </row>
    <row r="966" spans="9:9" ht="12.75">
      <c r="I966" s="11"/>
    </row>
    <row r="967" spans="9:9" ht="12.75">
      <c r="I967" s="11"/>
    </row>
    <row r="968" spans="9:9" ht="12.75">
      <c r="I968" s="11"/>
    </row>
    <row r="969" spans="9:9" ht="12.75">
      <c r="I969" s="11"/>
    </row>
    <row r="970" spans="9:9" ht="12.75">
      <c r="I970" s="11"/>
    </row>
    <row r="971" spans="9:9" ht="12.75">
      <c r="I971" s="11"/>
    </row>
    <row r="972" spans="9:9" ht="12.75">
      <c r="I972" s="11"/>
    </row>
    <row r="973" spans="9:9" ht="12.75">
      <c r="I973" s="11"/>
    </row>
    <row r="974" spans="9:9" ht="12.75">
      <c r="I974" s="11"/>
    </row>
    <row r="975" spans="9:9" ht="12.75">
      <c r="I975" s="11"/>
    </row>
    <row r="976" spans="9:9" ht="12.75">
      <c r="I976" s="11"/>
    </row>
    <row r="977" spans="9:9" ht="12.75">
      <c r="I977" s="11"/>
    </row>
    <row r="978" spans="9:9" ht="12.75">
      <c r="I978" s="11"/>
    </row>
    <row r="979" spans="9:9" ht="12.75">
      <c r="I979" s="11"/>
    </row>
    <row r="980" spans="9:9" ht="12.75">
      <c r="I980" s="11"/>
    </row>
    <row r="981" spans="9:9" ht="12.75">
      <c r="I981" s="11"/>
    </row>
    <row r="982" spans="9:9" ht="12.75">
      <c r="I982" s="11"/>
    </row>
    <row r="983" spans="9:9" ht="12.75">
      <c r="I983" s="11"/>
    </row>
    <row r="984" spans="9:9" ht="12.75">
      <c r="I984" s="11"/>
    </row>
    <row r="985" spans="9:9" ht="12.75">
      <c r="I985" s="11"/>
    </row>
    <row r="986" spans="9:9" ht="12.75">
      <c r="I986" s="11"/>
    </row>
    <row r="987" spans="9:9" ht="12.75">
      <c r="I987" s="11"/>
    </row>
    <row r="988" spans="9:9" ht="12.75">
      <c r="I988" s="11"/>
    </row>
    <row r="989" spans="9:9" ht="12.75">
      <c r="I989" s="11"/>
    </row>
    <row r="990" spans="9:9" ht="12.75">
      <c r="I990" s="11"/>
    </row>
    <row r="991" spans="9:9" ht="12.75">
      <c r="I991" s="11"/>
    </row>
    <row r="992" spans="9:9" ht="12.75">
      <c r="I992" s="11"/>
    </row>
    <row r="993" spans="9:9" ht="12.75">
      <c r="I993" s="11"/>
    </row>
    <row r="994" spans="9:9" ht="12.75">
      <c r="I994" s="11"/>
    </row>
    <row r="995" spans="9:9" ht="12.75">
      <c r="I995" s="11"/>
    </row>
    <row r="996" spans="9:9" ht="12.75">
      <c r="I996" s="11"/>
    </row>
    <row r="997" spans="9:9" ht="12.75">
      <c r="I997" s="11"/>
    </row>
    <row r="998" spans="9:9" ht="12.75">
      <c r="I998" s="11"/>
    </row>
    <row r="999" spans="9:9" ht="12.75">
      <c r="I999" s="11"/>
    </row>
    <row r="1000" spans="9:9" ht="12.75">
      <c r="I1000" s="11"/>
    </row>
    <row r="1001" spans="9:9" ht="12.75">
      <c r="I1001" s="11"/>
    </row>
    <row r="1002" spans="9:9" ht="12.75">
      <c r="I1002" s="11"/>
    </row>
    <row r="1003" spans="9:9" ht="12.75">
      <c r="I1003" s="11"/>
    </row>
    <row r="1004" spans="9:9" ht="12.75">
      <c r="I1004" s="11"/>
    </row>
    <row r="1005" spans="9:9" ht="12.75">
      <c r="I1005" s="11"/>
    </row>
    <row r="1006" spans="9:9" ht="12.75">
      <c r="I1006" s="11"/>
    </row>
    <row r="1007" spans="9:9" ht="12.75">
      <c r="I1007" s="11"/>
    </row>
    <row r="1008" spans="9:9" ht="12.75">
      <c r="I1008" s="11"/>
    </row>
    <row r="1009" spans="9:9" ht="12.75">
      <c r="I1009" s="11"/>
    </row>
    <row r="1010" spans="9:9" ht="12.75">
      <c r="I1010" s="11"/>
    </row>
    <row r="1011" spans="9:9" ht="12.75">
      <c r="I1011" s="11"/>
    </row>
    <row r="1012" spans="9:9" ht="12.75">
      <c r="I1012" s="11"/>
    </row>
    <row r="1013" spans="9:9" ht="12.75">
      <c r="I1013" s="11"/>
    </row>
    <row r="1014" spans="9:9" ht="12.75">
      <c r="I1014" s="11"/>
    </row>
    <row r="1015" spans="9:9" ht="12.75">
      <c r="I1015" s="11"/>
    </row>
    <row r="1016" spans="9:9" ht="12.75">
      <c r="I1016" s="11"/>
    </row>
    <row r="1017" spans="9:9" ht="12.75">
      <c r="I1017" s="11"/>
    </row>
    <row r="1018" spans="9:9" ht="12.75">
      <c r="I1018" s="11"/>
    </row>
    <row r="1019" spans="9:9" ht="12.75">
      <c r="I1019" s="11"/>
    </row>
    <row r="1020" spans="9:9" ht="12.75">
      <c r="I1020" s="11"/>
    </row>
    <row r="1021" spans="9:9" ht="12.75">
      <c r="I1021" s="11"/>
    </row>
    <row r="1022" spans="9:9" ht="12.75">
      <c r="I1022" s="11"/>
    </row>
    <row r="1023" spans="9:9" ht="12.75">
      <c r="I1023" s="11"/>
    </row>
    <row r="1024" spans="9:9" ht="12.75">
      <c r="I1024" s="11"/>
    </row>
    <row r="1025" spans="9:9" ht="12.75">
      <c r="I1025" s="11"/>
    </row>
    <row r="1026" spans="9:9" ht="12.75">
      <c r="I1026" s="11"/>
    </row>
    <row r="1027" spans="9:9" ht="12.75">
      <c r="I1027" s="11"/>
    </row>
  </sheetData>
  <conditionalFormatting sqref="Q2:Q43">
    <cfRule type="colorScale" priority="1">
      <colorScale>
        <cfvo type="min" val="0"/>
        <cfvo type="percentile" val="50"/>
        <cfvo type="max" val="0"/>
        <color rgb="FF57BB8A"/>
        <color rgb="FFFFD666"/>
        <color rgb="FFE67C73"/>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Devraj</cp:lastModifiedBy>
  <dcterms:modified xsi:type="dcterms:W3CDTF">2020-10-06T19:19:21Z</dcterms:modified>
</cp:coreProperties>
</file>